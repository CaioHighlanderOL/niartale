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3 + MOD de INT
</t>
      </text>
    </comment>
  </commentList>
</comments>
</file>

<file path=xl/sharedStrings.xml><?xml version="1.0" encoding="utf-8"?>
<sst xmlns="http://schemas.openxmlformats.org/spreadsheetml/2006/main" count="110" uniqueCount="97">
  <si>
    <t>NOME</t>
  </si>
  <si>
    <t>ALMAS</t>
  </si>
  <si>
    <t>PERÍCIAS</t>
  </si>
  <si>
    <t>BUFFS</t>
  </si>
  <si>
    <t>HATE</t>
  </si>
  <si>
    <t>HOPE</t>
  </si>
  <si>
    <t>-</t>
  </si>
  <si>
    <t>Nenhum</t>
  </si>
  <si>
    <t>Pericias</t>
  </si>
  <si>
    <t>Treinado</t>
  </si>
  <si>
    <t>Mestre</t>
  </si>
  <si>
    <t>Bônus</t>
  </si>
  <si>
    <t>Extra</t>
  </si>
  <si>
    <t>Buff Físico (For)</t>
  </si>
  <si>
    <t>Buff de PP</t>
  </si>
  <si>
    <t>RAÇA</t>
  </si>
  <si>
    <t>SUB-RAÇA</t>
  </si>
  <si>
    <t>Atletismo</t>
  </si>
  <si>
    <t>Estratégia</t>
  </si>
  <si>
    <t>Acrobacia</t>
  </si>
  <si>
    <t>Intuição</t>
  </si>
  <si>
    <t>Buff Rapidinho (Agi)</t>
  </si>
  <si>
    <t>Buff Ixpertinho (Int)</t>
  </si>
  <si>
    <t>Buff Hp</t>
  </si>
  <si>
    <t>Luta</t>
  </si>
  <si>
    <t>Medicina</t>
  </si>
  <si>
    <t>Arcanismo</t>
  </si>
  <si>
    <t>Ocultismo</t>
  </si>
  <si>
    <t>Buff Mágico (Mag)</t>
  </si>
  <si>
    <t>Buff Const</t>
  </si>
  <si>
    <t>Adestramento</t>
  </si>
  <si>
    <t>Investigação</t>
  </si>
  <si>
    <t>ATRIBUTOS</t>
  </si>
  <si>
    <t>Crime</t>
  </si>
  <si>
    <t>Ofício</t>
  </si>
  <si>
    <t>Diplomacia</t>
  </si>
  <si>
    <t>Percepção</t>
  </si>
  <si>
    <t>Reduções de Dano</t>
  </si>
  <si>
    <t>E.X.P</t>
  </si>
  <si>
    <t>Aplicados</t>
  </si>
  <si>
    <t>Enganação</t>
  </si>
  <si>
    <t>Artesanato</t>
  </si>
  <si>
    <t>XP</t>
  </si>
  <si>
    <r>
      <rPr>
        <rFont val="Lora"/>
        <b/>
        <color rgb="FFFF0000"/>
      </rPr>
      <t>LVL</t>
    </r>
    <r>
      <rPr>
        <rFont val="Lora"/>
        <b/>
        <color rgb="FFFFFFFF"/>
      </rPr>
      <t>/</t>
    </r>
    <r>
      <rPr>
        <rFont val="Lora"/>
        <b/>
        <color rgb="FFFFFF00"/>
      </rPr>
      <t>NVL</t>
    </r>
  </si>
  <si>
    <r>
      <rPr>
        <rFont val="Lora"/>
        <b/>
        <color rgb="FFF4CCCC"/>
      </rPr>
      <t>0</t>
    </r>
    <r>
      <rPr>
        <rFont val="Lora"/>
        <b/>
        <color rgb="FFFFFFFF"/>
      </rPr>
      <t>/</t>
    </r>
    <r>
      <rPr>
        <rFont val="Lora"/>
        <b/>
        <color rgb="FFFFF2CC"/>
      </rPr>
      <t>0</t>
    </r>
  </si>
  <si>
    <t>Fé</t>
  </si>
  <si>
    <t>Pontaria</t>
  </si>
  <si>
    <t>Tipo</t>
  </si>
  <si>
    <t>Quantidade</t>
  </si>
  <si>
    <t>Bônus adc.</t>
  </si>
  <si>
    <t>FOR</t>
  </si>
  <si>
    <t>Mod</t>
  </si>
  <si>
    <t>Furtividade</t>
  </si>
  <si>
    <t>reflexo</t>
  </si>
  <si>
    <t>R.D. Fís.</t>
  </si>
  <si>
    <t>Intimidação</t>
  </si>
  <si>
    <t>Sobrevivência</t>
  </si>
  <si>
    <t>R.D. Mag.</t>
  </si>
  <si>
    <t>CON</t>
  </si>
  <si>
    <t>Tecnologia</t>
  </si>
  <si>
    <t>Vitalidade</t>
  </si>
  <si>
    <t>Vontade</t>
  </si>
  <si>
    <t>Magia</t>
  </si>
  <si>
    <t>CalculaDANO</t>
  </si>
  <si>
    <t>CalculaCURA</t>
  </si>
  <si>
    <t>AGI</t>
  </si>
  <si>
    <t>TOTAL</t>
  </si>
  <si>
    <t>INT</t>
  </si>
  <si>
    <t>STATUS</t>
  </si>
  <si>
    <r>
      <rPr>
        <rFont val="Lora"/>
        <b/>
        <color rgb="FFFFFFFF"/>
        <sz val="12.0"/>
      </rPr>
      <t xml:space="preserve">Armadura </t>
    </r>
    <r>
      <rPr>
        <rFont val="Lora"/>
        <b/>
        <color rgb="FF274E13"/>
        <sz val="12.0"/>
      </rPr>
      <t>Leve</t>
    </r>
  </si>
  <si>
    <t>Condição Atual</t>
  </si>
  <si>
    <t>HP Restante</t>
  </si>
  <si>
    <t>MAG</t>
  </si>
  <si>
    <r>
      <rPr>
        <rFont val="Lora"/>
        <b/>
        <color rgb="FFFFFFFF"/>
        <sz val="12.0"/>
      </rPr>
      <t xml:space="preserve">Armadura </t>
    </r>
    <r>
      <rPr>
        <rFont val="Lora"/>
        <b/>
        <color rgb="FF1C4587"/>
        <sz val="12.0"/>
      </rPr>
      <t>Média</t>
    </r>
  </si>
  <si>
    <t>Pv</t>
  </si>
  <si>
    <t>Inversão</t>
  </si>
  <si>
    <r>
      <rPr>
        <rFont val="Lora"/>
        <b/>
        <color rgb="FFFFFFFF"/>
        <sz val="12.0"/>
      </rPr>
      <t xml:space="preserve">Armadura </t>
    </r>
    <r>
      <rPr>
        <rFont val="Lora"/>
        <b/>
        <color rgb="FF660000"/>
        <sz val="12.0"/>
      </rPr>
      <t>Pesada</t>
    </r>
  </si>
  <si>
    <t>CalculaPP</t>
  </si>
  <si>
    <t>PP. Rec</t>
  </si>
  <si>
    <t>C.A</t>
  </si>
  <si>
    <t>Bloq.</t>
  </si>
  <si>
    <t>Pp</t>
  </si>
  <si>
    <t>INI.</t>
  </si>
  <si>
    <t>Esq.</t>
  </si>
  <si>
    <t>PP Restante</t>
  </si>
  <si>
    <t>P.A</t>
  </si>
  <si>
    <t>CASH</t>
  </si>
  <si>
    <t>CalculaHOPE</t>
  </si>
  <si>
    <r>
      <rPr>
        <rFont val="Lora"/>
        <b/>
        <i/>
        <color rgb="FFD9D9D9"/>
      </rPr>
      <t>Calcula</t>
    </r>
    <r>
      <rPr>
        <rFont val="Lora"/>
        <b/>
        <i/>
        <color rgb="FF434343"/>
      </rPr>
      <t>HATE</t>
    </r>
  </si>
  <si>
    <t>100%/100%</t>
  </si>
  <si>
    <t>00%/00%</t>
  </si>
  <si>
    <t>Notes</t>
  </si>
  <si>
    <t>Inventário</t>
  </si>
  <si>
    <t>My Notes...</t>
  </si>
  <si>
    <t>My Inventory...</t>
  </si>
  <si>
    <t>--- Seu Link  de Imagem Aqui ---</t>
  </si>
  <si>
    <t>Theme Song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</si>
</sst>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color theme="1"/>
      <name val="Lora"/>
    </font>
    <font>
      <color rgb="FFFFFFFF"/>
      <name val="Lora"/>
    </font>
    <font>
      <color theme="1"/>
      <name val="Arial"/>
      <scheme val="minor"/>
    </font>
    <font>
      <b/>
      <sz val="15.0"/>
      <color rgb="FFFFFFFF"/>
      <name val="Lora"/>
    </font>
    <font/>
    <font>
      <b/>
      <sz val="20.0"/>
      <color rgb="FFFFFFFF"/>
      <name val="Lora"/>
    </font>
    <font>
      <b/>
      <i/>
      <sz val="41.0"/>
      <color rgb="FF434343"/>
      <name val="Lora"/>
    </font>
    <font>
      <b/>
      <i/>
      <sz val="16.0"/>
      <color rgb="FF434343"/>
      <name val="Lora"/>
    </font>
    <font>
      <b/>
      <i/>
      <sz val="16.0"/>
      <color rgb="FFCC4125"/>
      <name val="Lora"/>
    </font>
    <font>
      <b/>
      <i/>
      <color rgb="FFFFFFFF"/>
      <name val="Lora"/>
    </font>
    <font>
      <b/>
      <i/>
      <sz val="41.0"/>
      <color rgb="FFFFE599"/>
      <name val="Lora"/>
    </font>
    <font>
      <b/>
      <sz val="12.0"/>
      <color rgb="FFFFFFFF"/>
      <name val="Lora"/>
    </font>
    <font>
      <b/>
      <sz val="16.0"/>
      <color theme="1"/>
      <name val="Lora"/>
    </font>
    <font>
      <b/>
      <sz val="11.0"/>
      <color rgb="FFFFFFFF"/>
      <name val="Lora"/>
    </font>
    <font>
      <b/>
      <sz val="10.0"/>
      <color rgb="FFFFFFFF"/>
      <name val="Lora"/>
    </font>
    <font>
      <b/>
      <sz val="8.0"/>
      <color rgb="FFFFFFFF"/>
      <name val="Lora"/>
    </font>
    <font>
      <b/>
      <color rgb="FFFFFFFF"/>
      <name val="Lora"/>
    </font>
    <font>
      <b/>
      <sz val="16.0"/>
      <color rgb="FFFFFFFF"/>
      <name val="Lora"/>
    </font>
    <font>
      <b/>
      <color rgb="FFFF0000"/>
      <name val="Lora"/>
    </font>
    <font>
      <b/>
      <color rgb="FFF4CCCC"/>
      <name val="Lora"/>
    </font>
    <font>
      <b/>
      <color rgb="FFFFFF00"/>
      <name val="Lora"/>
    </font>
    <font>
      <b/>
      <color rgb="FFFFF2CC"/>
      <name val="Lora"/>
    </font>
    <font>
      <b/>
      <color theme="1"/>
      <name val="Lora"/>
    </font>
    <font>
      <b/>
      <color rgb="FFF3F3F3"/>
      <name val="Lora"/>
    </font>
    <font>
      <b/>
      <sz val="10.0"/>
      <color rgb="FF274E13"/>
      <name val="Lora"/>
    </font>
    <font>
      <b/>
      <sz val="10.0"/>
      <color rgb="FF1C4587"/>
      <name val="Lora"/>
    </font>
    <font>
      <b/>
      <sz val="11.0"/>
      <color rgb="FFFF0000"/>
      <name val="Lora"/>
    </font>
    <font>
      <b/>
      <sz val="10.0"/>
      <color rgb="FF660000"/>
      <name val="Lora"/>
    </font>
    <font>
      <b/>
      <sz val="11.0"/>
      <color rgb="FF434343"/>
      <name val="Lora"/>
    </font>
    <font>
      <b/>
      <sz val="10.0"/>
      <color rgb="FFFFF2CC"/>
      <name val="Lora"/>
    </font>
    <font>
      <b/>
      <i/>
      <color rgb="FF666666"/>
      <name val="Lora"/>
    </font>
    <font>
      <b/>
      <i/>
      <color rgb="FF434343"/>
      <name val="Lora"/>
    </font>
    <font>
      <color rgb="FF000000"/>
      <name val="Lora"/>
    </font>
    <font>
      <sz val="12.0"/>
      <color rgb="FF666666"/>
      <name val="Lora"/>
    </font>
    <font>
      <sz val="12.0"/>
      <color rgb="FF999999"/>
      <name val="Lora"/>
    </font>
    <font>
      <sz val="7.0"/>
      <color rgb="FF434343"/>
      <name val="Lora"/>
    </font>
    <font>
      <b/>
      <i/>
      <u/>
      <sz val="15.0"/>
      <color rgb="FF434343"/>
      <name val="Lora"/>
    </font>
    <font>
      <b/>
      <sz val="20.0"/>
      <color rgb="FFFFFFFF"/>
      <name val="Merriweather"/>
    </font>
    <font>
      <sz val="12.0"/>
      <color rgb="FFFFFFFF"/>
      <name val="Merriweather"/>
    </font>
    <font>
      <b/>
      <i/>
      <sz val="20.0"/>
      <color rgb="FF000000"/>
      <name val="Merriweather"/>
    </font>
    <font>
      <color rgb="FF000000"/>
      <name val="Arial"/>
      <scheme val="minor"/>
    </font>
    <font>
      <b/>
      <i/>
      <sz val="16.0"/>
      <color rgb="FF000000"/>
      <name val="Merriweathe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FFFFFF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FFFFFF"/>
      </left>
      <right style="double">
        <color rgb="FFFFFFFF"/>
      </right>
      <top style="double">
        <color rgb="FFFFFFFF"/>
      </top>
    </border>
    <border>
      <top style="thin">
        <color rgb="FF000000"/>
      </top>
      <bottom style="thin">
        <color rgb="FF000000"/>
      </bottom>
    </border>
    <border>
      <bottom style="thick">
        <color rgb="FFFFFFFF"/>
      </bottom>
    </border>
    <border>
      <right style="medium">
        <color rgb="FFFFFFFF"/>
      </right>
      <bottom style="thick">
        <color rgb="FFFFFFFF"/>
      </bottom>
    </border>
    <border>
      <right style="thin">
        <color rgb="FF000000"/>
      </right>
      <bottom style="thick">
        <color rgb="FFFFFFFF"/>
      </bottom>
    </border>
    <border>
      <left style="thin">
        <color rgb="FF000000"/>
      </left>
      <bottom style="thick">
        <color rgb="FFFFFFFF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dotted">
        <color rgb="FFFFFFFF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FFFFFF"/>
      </left>
      <right style="double">
        <color rgb="FFFFFFFF"/>
      </right>
    </border>
    <border>
      <left style="medium">
        <color rgb="FFFFFFFF"/>
      </lef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right style="thin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right style="thick">
        <color rgb="FFFFFFFF"/>
      </right>
    </border>
    <border>
      <bottom style="medium">
        <color rgb="FFFFFFFF"/>
      </bottom>
    </border>
    <border>
      <right style="thick">
        <color rgb="FFFFFFFF"/>
      </right>
      <top style="thick">
        <color rgb="FFFFFFFF"/>
      </top>
    </border>
    <border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</border>
    <border>
      <left style="medium">
        <color rgb="FFFFFFFF"/>
      </left>
      <right style="medium">
        <color rgb="FFFFFFFF"/>
      </right>
    </border>
    <border>
      <bottom style="thin">
        <color rgb="FF000000"/>
      </bottom>
    </border>
    <border>
      <left style="thin">
        <color rgb="FF000000"/>
      </lef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double">
        <color rgb="FFFFFFFF"/>
      </left>
      <right style="double">
        <color rgb="FFFFFFFF"/>
      </right>
      <bottom style="double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</border>
    <border>
      <right style="thin">
        <color rgb="FF000000"/>
      </right>
      <bottom style="medium">
        <color rgb="FFFFFFFF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1" fillId="2" fontId="1" numFmtId="0" xfId="0" applyBorder="1" applyFont="1"/>
    <xf borderId="0" fillId="2" fontId="4" numFmtId="0" xfId="0" applyAlignment="1" applyFont="1">
      <alignment horizontal="center" readingOrder="0" vertical="center"/>
    </xf>
    <xf borderId="2" fillId="0" fontId="5" numFmtId="0" xfId="0" applyBorder="1" applyFont="1"/>
    <xf borderId="0" fillId="2" fontId="6" numFmtId="0" xfId="0" applyAlignment="1" applyFont="1">
      <alignment horizontal="center" readingOrder="0" vertical="center"/>
    </xf>
    <xf borderId="3" fillId="0" fontId="5" numFmtId="0" xfId="0" applyBorder="1" applyFont="1"/>
    <xf borderId="4" fillId="2" fontId="6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2" fontId="1" numFmtId="0" xfId="0" applyBorder="1" applyFont="1"/>
    <xf borderId="3" fillId="2" fontId="2" numFmtId="0" xfId="0" applyBorder="1" applyFont="1"/>
    <xf borderId="8" fillId="2" fontId="1" numFmtId="0" xfId="0" applyBorder="1" applyFont="1"/>
    <xf borderId="1" fillId="2" fontId="3" numFmtId="0" xfId="0" applyBorder="1" applyFont="1"/>
    <xf borderId="0" fillId="2" fontId="7" numFmtId="0" xfId="0" applyAlignment="1" applyFont="1">
      <alignment horizontal="center" readingOrder="0" shrinkToFit="0" textRotation="90" vertical="center" wrapText="0"/>
    </xf>
    <xf borderId="9" fillId="2" fontId="8" numFmtId="0" xfId="0" applyAlignment="1" applyBorder="1" applyFont="1">
      <alignment horizontal="center" textRotation="90" vertical="center"/>
    </xf>
    <xf borderId="10" fillId="2" fontId="1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3" fontId="9" numFmtId="0" xfId="0" applyAlignment="1" applyBorder="1" applyFill="1" applyFont="1">
      <alignment horizontal="center" readingOrder="0" textRotation="180" vertical="center"/>
    </xf>
    <xf borderId="0" fillId="2" fontId="10" numFmtId="0" xfId="0" applyAlignment="1" applyFont="1">
      <alignment horizontal="center" vertical="center"/>
    </xf>
    <xf borderId="16" fillId="2" fontId="11" numFmtId="0" xfId="0" applyAlignment="1" applyBorder="1" applyFont="1">
      <alignment horizontal="center" readingOrder="0" textRotation="180" vertical="center"/>
    </xf>
    <xf borderId="17" fillId="2" fontId="1" numFmtId="0" xfId="0" applyBorder="1" applyFont="1"/>
    <xf borderId="18" fillId="0" fontId="5" numFmtId="0" xfId="0" applyBorder="1" applyFont="1"/>
    <xf borderId="19" fillId="2" fontId="12" numFmtId="0" xfId="0" applyAlignment="1" applyBorder="1" applyFont="1">
      <alignment horizontal="center" readingOrder="0" vertical="center"/>
    </xf>
    <xf borderId="20" fillId="0" fontId="5" numFmtId="0" xfId="0" applyBorder="1" applyFont="1"/>
    <xf borderId="19" fillId="2" fontId="13" numFmtId="0" xfId="0" applyAlignment="1" applyBorder="1" applyFont="1">
      <alignment horizontal="center" readingOrder="0" shrinkToFit="0" vertical="center" wrapText="1"/>
    </xf>
    <xf borderId="21" fillId="2" fontId="1" numFmtId="0" xfId="0" applyBorder="1" applyFont="1"/>
    <xf borderId="22" fillId="0" fontId="5" numFmtId="0" xfId="0" applyBorder="1" applyFont="1"/>
    <xf borderId="16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2" fontId="12" numFmtId="0" xfId="0" applyAlignment="1" applyBorder="1" applyFont="1">
      <alignment horizontal="center" readingOrder="0"/>
    </xf>
    <xf borderId="11" fillId="2" fontId="12" numFmtId="0" xfId="0" applyAlignment="1" applyBorder="1" applyFont="1">
      <alignment horizontal="center" readingOrder="0"/>
    </xf>
    <xf borderId="26" fillId="2" fontId="12" numFmtId="0" xfId="0" applyAlignment="1" applyBorder="1" applyFont="1">
      <alignment horizontal="center" readingOrder="0"/>
    </xf>
    <xf borderId="27" fillId="2" fontId="12" numFmtId="0" xfId="0" applyAlignment="1" applyBorder="1" applyFont="1">
      <alignment horizontal="center" readingOrder="0"/>
    </xf>
    <xf borderId="28" fillId="2" fontId="14" numFmtId="0" xfId="0" applyAlignment="1" applyBorder="1" applyFont="1">
      <alignment horizontal="center" vertical="center"/>
    </xf>
    <xf borderId="0" fillId="2" fontId="14" numFmtId="0" xfId="0" applyAlignment="1" applyFont="1">
      <alignment horizontal="center" readingOrder="0" shrinkToFit="0" vertical="center" wrapText="0"/>
    </xf>
    <xf borderId="28" fillId="2" fontId="14" numFmtId="0" xfId="0" applyAlignment="1" applyBorder="1" applyFont="1">
      <alignment horizontal="center" readingOrder="0" vertical="center"/>
    </xf>
    <xf borderId="27" fillId="2" fontId="15" numFmtId="0" xfId="0" applyAlignment="1" applyBorder="1" applyFont="1">
      <alignment horizontal="center" readingOrder="0" vertical="center"/>
    </xf>
    <xf borderId="27" fillId="2" fontId="16" numFmtId="0" xfId="0" applyAlignment="1" applyBorder="1" applyFont="1">
      <alignment horizontal="center" readingOrder="0" vertical="center"/>
    </xf>
    <xf borderId="27" fillId="2" fontId="14" numFmtId="0" xfId="0" applyAlignment="1" applyBorder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29" fillId="2" fontId="17" numFmtId="0" xfId="0" applyAlignment="1" applyBorder="1" applyFont="1">
      <alignment horizontal="center" readingOrder="0" vertical="center"/>
    </xf>
    <xf borderId="29" fillId="2" fontId="16" numFmtId="0" xfId="0" applyAlignment="1" applyBorder="1" applyFont="1">
      <alignment horizontal="center" vertical="center"/>
    </xf>
    <xf borderId="0" fillId="2" fontId="17" numFmtId="0" xfId="0" applyAlignment="1" applyFont="1">
      <alignment horizontal="center" readingOrder="0" vertical="bottom"/>
    </xf>
    <xf borderId="27" fillId="2" fontId="17" numFmtId="0" xfId="0" applyAlignment="1" applyBorder="1" applyFont="1">
      <alignment horizontal="center" readingOrder="0" vertical="center"/>
    </xf>
    <xf borderId="27" fillId="2" fontId="16" numFmtId="0" xfId="0" applyAlignment="1" applyBorder="1" applyFont="1">
      <alignment horizontal="center" vertical="center"/>
    </xf>
    <xf borderId="24" fillId="2" fontId="14" numFmtId="0" xfId="0" applyAlignment="1" applyBorder="1" applyFont="1">
      <alignment horizontal="center" vertical="center"/>
    </xf>
    <xf borderId="2" fillId="2" fontId="17" numFmtId="0" xfId="0" applyAlignment="1" applyBorder="1" applyFont="1">
      <alignment horizontal="center" readingOrder="0" vertical="bottom"/>
    </xf>
    <xf borderId="19" fillId="2" fontId="6" numFmtId="0" xfId="0" applyAlignment="1" applyBorder="1" applyFont="1">
      <alignment horizontal="center" readingOrder="0" vertical="center"/>
    </xf>
    <xf borderId="30" fillId="0" fontId="5" numFmtId="0" xfId="0" applyBorder="1" applyFont="1"/>
    <xf borderId="28" fillId="0" fontId="5" numFmtId="0" xfId="0" applyBorder="1" applyFont="1"/>
    <xf borderId="28" fillId="2" fontId="18" numFmtId="0" xfId="0" applyAlignment="1" applyBorder="1" applyFont="1">
      <alignment horizontal="center" vertical="top"/>
    </xf>
    <xf borderId="31" fillId="2" fontId="19" numFmtId="0" xfId="0" applyAlignment="1" applyBorder="1" applyFont="1">
      <alignment horizontal="center" readingOrder="0" vertical="center"/>
    </xf>
    <xf borderId="31" fillId="2" fontId="20" numFmtId="0" xfId="0" applyAlignment="1" applyBorder="1" applyFont="1">
      <alignment horizontal="center" readingOrder="0" vertical="center"/>
    </xf>
    <xf borderId="31" fillId="2" fontId="17" numFmtId="0" xfId="0" applyAlignment="1" applyBorder="1" applyFont="1">
      <alignment horizontal="center" readingOrder="0" vertical="center"/>
    </xf>
    <xf borderId="31" fillId="2" fontId="17" numFmtId="0" xfId="0" applyAlignment="1" applyBorder="1" applyFont="1">
      <alignment horizontal="center" vertical="center"/>
    </xf>
    <xf borderId="32" fillId="2" fontId="21" numFmtId="0" xfId="0" applyAlignment="1" applyBorder="1" applyFont="1">
      <alignment horizontal="center" readingOrder="0" vertical="center"/>
    </xf>
    <xf borderId="32" fillId="2" fontId="22" numFmtId="0" xfId="0" applyAlignment="1" applyBorder="1" applyFont="1">
      <alignment horizontal="center" readingOrder="0" vertical="center"/>
    </xf>
    <xf borderId="32" fillId="2" fontId="17" numFmtId="0" xfId="0" applyAlignment="1" applyBorder="1" applyFont="1">
      <alignment horizontal="center" readingOrder="0" vertical="center"/>
    </xf>
    <xf borderId="32" fillId="2" fontId="20" numFmtId="0" xfId="0" applyAlignment="1" applyBorder="1" applyFont="1">
      <alignment horizontal="center" readingOrder="0" vertical="center"/>
    </xf>
    <xf borderId="33" fillId="2" fontId="12" numFmtId="0" xfId="0" applyAlignment="1" applyBorder="1" applyFont="1">
      <alignment horizontal="center" readingOrder="0" vertical="bottom"/>
    </xf>
    <xf borderId="34" fillId="2" fontId="12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readingOrder="0" vertical="bottom"/>
    </xf>
    <xf borderId="31" fillId="2" fontId="4" numFmtId="0" xfId="0" applyAlignment="1" applyBorder="1" applyFont="1">
      <alignment horizontal="center" readingOrder="0" vertical="center"/>
    </xf>
    <xf borderId="31" fillId="2" fontId="12" numFmtId="0" xfId="0" applyAlignment="1" applyBorder="1" applyFont="1">
      <alignment horizontal="center" vertical="center"/>
    </xf>
    <xf borderId="31" fillId="2" fontId="12" numFmtId="0" xfId="0" applyAlignment="1" applyBorder="1" applyFont="1">
      <alignment horizontal="center" vertical="bottom"/>
    </xf>
    <xf borderId="31" fillId="2" fontId="12" numFmtId="0" xfId="0" applyAlignment="1" applyBorder="1" applyFont="1">
      <alignment horizontal="center" readingOrder="0" vertical="bottom"/>
    </xf>
    <xf borderId="34" fillId="0" fontId="5" numFmtId="0" xfId="0" applyBorder="1" applyFont="1"/>
    <xf borderId="33" fillId="0" fontId="5" numFmtId="0" xfId="0" applyBorder="1" applyFont="1"/>
    <xf borderId="32" fillId="2" fontId="12" numFmtId="0" xfId="0" applyAlignment="1" applyBorder="1" applyFont="1">
      <alignment horizontal="center" vertical="bottom"/>
    </xf>
    <xf borderId="32" fillId="2" fontId="12" numFmtId="0" xfId="0" applyAlignment="1" applyBorder="1" applyFont="1">
      <alignment horizontal="center" readingOrder="0" vertical="bottom"/>
    </xf>
    <xf borderId="35" fillId="2" fontId="2" numFmtId="0" xfId="0" applyBorder="1" applyFont="1"/>
    <xf borderId="34" fillId="2" fontId="4" numFmtId="0" xfId="0" applyAlignment="1" applyBorder="1" applyFont="1">
      <alignment horizontal="center" readingOrder="0" vertical="center"/>
    </xf>
    <xf borderId="33" fillId="2" fontId="12" numFmtId="0" xfId="0" applyAlignment="1" applyBorder="1" applyFont="1">
      <alignment horizontal="center" readingOrder="0" vertical="center"/>
    </xf>
    <xf borderId="34" fillId="2" fontId="12" numFmtId="0" xfId="0" applyAlignment="1" applyBorder="1" applyFont="1">
      <alignment horizontal="center" readingOrder="0" vertical="center"/>
    </xf>
    <xf borderId="5" fillId="2" fontId="23" numFmtId="0" xfId="0" applyBorder="1" applyFont="1"/>
    <xf borderId="0" fillId="2" fontId="23" numFmtId="0" xfId="0" applyFont="1"/>
    <xf borderId="36" fillId="2" fontId="1" numFmtId="0" xfId="0" applyBorder="1" applyFont="1"/>
    <xf borderId="10" fillId="2" fontId="2" numFmtId="0" xfId="0" applyBorder="1" applyFont="1"/>
    <xf borderId="37" fillId="4" fontId="15" numFmtId="0" xfId="0" applyAlignment="1" applyBorder="1" applyFill="1" applyFont="1">
      <alignment horizontal="center" readingOrder="0" vertical="bottom"/>
    </xf>
    <xf borderId="0" fillId="2" fontId="23" numFmtId="0" xfId="0" applyAlignment="1" applyFont="1">
      <alignment vertical="bottom"/>
    </xf>
    <xf borderId="37" fillId="5" fontId="15" numFmtId="0" xfId="0" applyAlignment="1" applyBorder="1" applyFill="1" applyFont="1">
      <alignment horizontal="center" readingOrder="0" vertical="bottom"/>
    </xf>
    <xf borderId="34" fillId="2" fontId="12" numFmtId="0" xfId="0" applyAlignment="1" applyBorder="1" applyFont="1">
      <alignment horizontal="center" vertical="center"/>
    </xf>
    <xf borderId="10" fillId="2" fontId="23" numFmtId="0" xfId="0" applyBorder="1" applyFont="1"/>
    <xf borderId="31" fillId="2" fontId="24" numFmtId="0" xfId="0" applyAlignment="1" applyBorder="1" applyFont="1">
      <alignment horizontal="center" readingOrder="0" vertical="center"/>
    </xf>
    <xf borderId="34" fillId="2" fontId="24" numFmtId="0" xfId="0" applyAlignment="1" applyBorder="1" applyFont="1">
      <alignment horizontal="center" readingOrder="0" vertical="center"/>
    </xf>
    <xf borderId="37" fillId="6" fontId="14" numFmtId="0" xfId="0" applyAlignment="1" applyBorder="1" applyFill="1" applyFont="1">
      <alignment horizontal="center" readingOrder="0" vertical="bottom"/>
    </xf>
    <xf borderId="19" fillId="2" fontId="4" numFmtId="0" xfId="0" applyAlignment="1" applyBorder="1" applyFont="1">
      <alignment horizontal="center" readingOrder="0" vertical="center"/>
    </xf>
    <xf borderId="28" fillId="2" fontId="12" numFmtId="0" xfId="0" applyAlignment="1" applyBorder="1" applyFont="1">
      <alignment horizontal="center" readingOrder="0" vertical="center"/>
    </xf>
    <xf borderId="28" fillId="2" fontId="25" numFmtId="0" xfId="0" applyAlignment="1" applyBorder="1" applyFont="1">
      <alignment readingOrder="0"/>
    </xf>
    <xf borderId="37" fillId="2" fontId="17" numFmtId="0" xfId="0" applyAlignment="1" applyBorder="1" applyFont="1">
      <alignment horizontal="center" vertical="bottom"/>
    </xf>
    <xf borderId="37" fillId="7" fontId="14" numFmtId="0" xfId="0" applyAlignment="1" applyBorder="1" applyFill="1" applyFont="1">
      <alignment horizontal="center" readingOrder="0" vertical="bottom"/>
    </xf>
    <xf borderId="28" fillId="2" fontId="26" numFmtId="0" xfId="0" applyAlignment="1" applyBorder="1" applyFont="1">
      <alignment readingOrder="0"/>
    </xf>
    <xf borderId="32" fillId="2" fontId="24" numFmtId="0" xfId="0" applyAlignment="1" applyBorder="1" applyFont="1">
      <alignment horizontal="center" readingOrder="0" vertical="center"/>
    </xf>
    <xf borderId="32" fillId="0" fontId="5" numFmtId="0" xfId="0" applyBorder="1" applyFont="1"/>
    <xf borderId="31" fillId="7" fontId="12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31" fillId="2" fontId="12" numFmtId="0" xfId="0" applyAlignment="1" applyBorder="1" applyFont="1">
      <alignment horizontal="center" readingOrder="0" vertical="center"/>
    </xf>
    <xf borderId="31" fillId="2" fontId="27" numFmtId="0" xfId="0" applyAlignment="1" applyBorder="1" applyFont="1">
      <alignment readingOrder="0"/>
    </xf>
    <xf borderId="38" fillId="2" fontId="1" numFmtId="0" xfId="0" applyBorder="1" applyFont="1"/>
    <xf borderId="28" fillId="2" fontId="28" numFmtId="0" xfId="0" applyAlignment="1" applyBorder="1" applyFont="1">
      <alignment readingOrder="0"/>
    </xf>
    <xf borderId="37" fillId="8" fontId="17" numFmtId="0" xfId="0" applyAlignment="1" applyBorder="1" applyFill="1" applyFont="1">
      <alignment horizontal="center" readingOrder="0" vertical="bottom"/>
    </xf>
    <xf borderId="31" fillId="2" fontId="29" numFmtId="0" xfId="0" applyAlignment="1" applyBorder="1" applyFont="1">
      <alignment readingOrder="0"/>
    </xf>
    <xf borderId="31" fillId="8" fontId="12" numFmtId="0" xfId="0" applyAlignment="1" applyBorder="1" applyFont="1">
      <alignment horizontal="center" readingOrder="0" vertical="center"/>
    </xf>
    <xf borderId="34" fillId="2" fontId="17" numFmtId="0" xfId="0" applyAlignment="1" applyBorder="1" applyFont="1">
      <alignment horizontal="center" readingOrder="0" vertical="center"/>
    </xf>
    <xf borderId="37" fillId="9" fontId="14" numFmtId="0" xfId="0" applyAlignment="1" applyBorder="1" applyFill="1" applyFont="1">
      <alignment horizontal="center" readingOrder="0" vertical="bottom"/>
    </xf>
    <xf borderId="28" fillId="2" fontId="30" numFmtId="0" xfId="0" applyAlignment="1" applyBorder="1" applyFont="1">
      <alignment horizontal="center" readingOrder="0" vertical="center"/>
    </xf>
    <xf borderId="39" fillId="0" fontId="5" numFmtId="0" xfId="0" applyBorder="1" applyFont="1"/>
    <xf borderId="40" fillId="0" fontId="5" numFmtId="0" xfId="0" applyBorder="1" applyFont="1"/>
    <xf borderId="28" fillId="2" fontId="31" numFmtId="0" xfId="0" applyAlignment="1" applyBorder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41" fillId="2" fontId="1" numFmtId="0" xfId="0" applyBorder="1" applyFont="1"/>
    <xf borderId="0" fillId="2" fontId="33" numFmtId="0" xfId="0" applyFont="1"/>
    <xf borderId="8" fillId="2" fontId="3" numFmtId="0" xfId="0" applyBorder="1" applyFont="1"/>
    <xf borderId="28" fillId="2" fontId="1" numFmtId="0" xfId="0" applyBorder="1" applyFont="1"/>
    <xf borderId="28" fillId="2" fontId="23" numFmtId="0" xfId="0" applyBorder="1" applyFont="1"/>
    <xf borderId="19" fillId="2" fontId="2" numFmtId="0" xfId="0" applyBorder="1" applyFont="1"/>
    <xf borderId="30" fillId="2" fontId="23" numFmtId="0" xfId="0" applyBorder="1" applyFont="1"/>
    <xf borderId="42" fillId="2" fontId="23" numFmtId="0" xfId="0" applyBorder="1" applyFont="1"/>
    <xf borderId="43" fillId="2" fontId="1" numFmtId="0" xfId="0" applyBorder="1" applyFont="1"/>
    <xf borderId="43" fillId="2" fontId="3" numFmtId="0" xfId="0" applyBorder="1" applyFont="1"/>
    <xf borderId="30" fillId="2" fontId="1" numFmtId="0" xfId="0" applyBorder="1" applyFont="1"/>
    <xf borderId="3" fillId="2" fontId="1" numFmtId="0" xfId="0" applyBorder="1" applyFont="1"/>
    <xf borderId="38" fillId="2" fontId="23" numFmtId="0" xfId="0" applyBorder="1" applyFont="1"/>
    <xf borderId="2" fillId="2" fontId="1" numFmtId="0" xfId="0" applyBorder="1" applyFont="1"/>
    <xf borderId="33" fillId="2" fontId="2" numFmtId="0" xfId="0" applyBorder="1" applyFont="1"/>
    <xf borderId="5" fillId="2" fontId="6" numFmtId="0" xfId="0" applyAlignment="1" applyBorder="1" applyFont="1">
      <alignment horizontal="center" readingOrder="0" vertical="center"/>
    </xf>
    <xf borderId="44" fillId="0" fontId="5" numFmtId="0" xfId="0" applyBorder="1" applyFont="1"/>
    <xf borderId="0" fillId="2" fontId="34" numFmtId="0" xfId="0" applyAlignment="1" applyFon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45" fillId="2" fontId="1" numFmtId="0" xfId="0" applyBorder="1" applyFont="1"/>
    <xf borderId="23" fillId="2" fontId="3" numFmtId="0" xfId="0" applyBorder="1" applyFont="1"/>
    <xf borderId="28" fillId="2" fontId="3" numFmtId="0" xfId="0" applyBorder="1" applyFont="1"/>
    <xf borderId="24" fillId="2" fontId="3" numFmtId="0" xfId="0" applyBorder="1" applyFont="1"/>
    <xf borderId="33" fillId="2" fontId="36" numFmtId="0" xfId="0" applyAlignment="1" applyBorder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36" fillId="2" fontId="37" numFmtId="0" xfId="0" applyAlignment="1" applyBorder="1" applyFont="1">
      <alignment horizontal="center" readingOrder="0" vertical="center"/>
    </xf>
    <xf borderId="46" fillId="0" fontId="5" numFmtId="0" xfId="0" applyBorder="1" applyFont="1"/>
    <xf borderId="35" fillId="0" fontId="5" numFmtId="0" xfId="0" applyBorder="1" applyFont="1"/>
    <xf borderId="21" fillId="0" fontId="5" numFmtId="0" xfId="0" applyBorder="1" applyFont="1"/>
    <xf borderId="0" fillId="2" fontId="38" numFmtId="0" xfId="0" applyAlignment="1" applyFont="1">
      <alignment horizontal="center" readingOrder="0" vertical="center"/>
    </xf>
    <xf borderId="17" fillId="2" fontId="3" numFmtId="0" xfId="0" applyBorder="1" applyFont="1"/>
    <xf borderId="3" fillId="2" fontId="39" numFmtId="0" xfId="0" applyAlignment="1" applyBorder="1" applyFont="1">
      <alignment horizontal="center" readingOrder="0" vertical="center"/>
    </xf>
    <xf borderId="7" fillId="2" fontId="3" numFmtId="0" xfId="0" applyBorder="1" applyFont="1"/>
    <xf borderId="0" fillId="2" fontId="40" numFmtId="0" xfId="0" applyAlignment="1" applyFont="1">
      <alignment horizontal="center" readingOrder="0" vertical="center"/>
    </xf>
    <xf borderId="0" fillId="2" fontId="41" numFmtId="0" xfId="0" applyFont="1"/>
    <xf borderId="0" fillId="2" fontId="42" numFmtId="0" xfId="0" applyAlignment="1" applyFont="1">
      <alignment horizontal="center" readingOrder="0" vertical="center"/>
    </xf>
    <xf borderId="41" fillId="2" fontId="3" numFmtId="0" xfId="0" applyBorder="1" applyFont="1"/>
    <xf borderId="0" fillId="2" fontId="39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edia.discordapp.net/attachments/1436936416394219701/1442075246441009317/image.png?ex=69ca39bb&amp;is=69c8e83b&amp;hm=fc2399a21f2f5db1905cfe510a7dfe3810180af27ec22dcd1250790f3b228020&amp;=&amp;format=webp&amp;quality=lossless" TargetMode="External"/><Relationship Id="rId3" Type="http://schemas.openxmlformats.org/officeDocument/2006/relationships/hyperlink" Target="https://www.youtube.com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0.75"/>
    <col customWidth="1" min="3" max="3" width="12.63"/>
    <col customWidth="1" min="4" max="4" width="10.25"/>
    <col customWidth="1" min="6" max="6" width="17.0"/>
    <col customWidth="1" min="7" max="7" width="17.38"/>
    <col customWidth="1" min="8" max="8" width="16.5"/>
    <col customWidth="1" min="9" max="9" width="15.13"/>
    <col customWidth="1" min="11" max="11" width="13.5"/>
    <col customWidth="1" min="12" max="12" width="11.75"/>
    <col customWidth="1" min="13" max="13" width="11.25"/>
    <col customWidth="1" min="14" max="14" width="12.63"/>
    <col customWidth="1" min="15" max="16" width="2.0"/>
    <col customWidth="1" min="17" max="18" width="12.63"/>
    <col customWidth="1" min="19" max="19" width="11.88"/>
    <col customWidth="1" min="20" max="20" width="11.25"/>
    <col customWidth="1" min="21" max="21" width="12.63"/>
    <col customWidth="1" min="23" max="24" width="18.88"/>
    <col customWidth="1" min="25" max="25" width="18.25"/>
    <col customWidth="1" min="26" max="27" width="12.63"/>
    <col customWidth="1" min="28" max="28" width="0.75"/>
    <col customWidth="1" min="29" max="29" width="12.63"/>
    <col customWidth="1" min="30" max="30" width="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1"/>
      <c r="AE1" s="1"/>
      <c r="AF1" s="3"/>
      <c r="AG1" s="3"/>
    </row>
    <row r="2">
      <c r="A2" s="1"/>
      <c r="B2" s="1"/>
      <c r="C2" s="1"/>
      <c r="D2" s="4"/>
      <c r="E2" s="5" t="s">
        <v>0</v>
      </c>
      <c r="F2" s="6"/>
      <c r="G2" s="5" t="s">
        <v>1</v>
      </c>
      <c r="I2" s="1"/>
      <c r="J2" s="7" t="s">
        <v>2</v>
      </c>
      <c r="U2" s="8"/>
      <c r="V2" s="3"/>
      <c r="W2" s="9" t="s">
        <v>3</v>
      </c>
      <c r="X2" s="10"/>
      <c r="Y2" s="11"/>
      <c r="Z2" s="3"/>
      <c r="AA2" s="12"/>
      <c r="AB2" s="2"/>
      <c r="AC2" s="13"/>
      <c r="AD2" s="14"/>
      <c r="AE2" s="4"/>
      <c r="AF2" s="15"/>
      <c r="AG2" s="15"/>
    </row>
    <row r="3">
      <c r="A3" s="16" t="s">
        <v>4</v>
      </c>
      <c r="B3" s="1"/>
      <c r="C3" s="17" t="str">
        <f>J32</f>
        <v>00%/00%</v>
      </c>
      <c r="D3" s="18"/>
      <c r="E3" s="19"/>
      <c r="F3" s="20"/>
      <c r="G3" s="19"/>
      <c r="H3" s="19"/>
      <c r="I3" s="1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1"/>
      <c r="V3" s="3"/>
      <c r="W3" s="22"/>
      <c r="X3" s="19"/>
      <c r="Y3" s="21"/>
      <c r="Z3" s="3"/>
      <c r="AA3" s="23" t="str">
        <f>T31</f>
        <v>100%/100%</v>
      </c>
      <c r="AB3" s="24"/>
      <c r="AC3" s="25" t="s">
        <v>5</v>
      </c>
      <c r="AD3" s="3"/>
      <c r="AE3" s="26"/>
      <c r="AF3" s="15"/>
      <c r="AG3" s="15"/>
    </row>
    <row r="4">
      <c r="B4" s="1"/>
      <c r="C4" s="27"/>
      <c r="D4" s="18"/>
      <c r="E4" s="28" t="s">
        <v>6</v>
      </c>
      <c r="F4" s="29"/>
      <c r="G4" s="30" t="s">
        <v>7</v>
      </c>
      <c r="H4" s="2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31"/>
      <c r="U4" s="1"/>
      <c r="V4" s="3"/>
      <c r="W4" s="1"/>
      <c r="X4" s="1"/>
      <c r="Y4" s="1"/>
      <c r="Z4" s="3"/>
      <c r="AA4" s="32"/>
      <c r="AB4" s="24"/>
      <c r="AC4" s="33"/>
      <c r="AD4" s="3"/>
      <c r="AE4" s="26"/>
      <c r="AF4" s="15"/>
      <c r="AG4" s="15"/>
    </row>
    <row r="5">
      <c r="B5" s="1"/>
      <c r="C5" s="27"/>
      <c r="D5" s="18"/>
      <c r="E5" s="34"/>
      <c r="F5" s="35"/>
      <c r="G5" s="34"/>
      <c r="H5" s="35"/>
      <c r="I5" s="1"/>
      <c r="J5" s="36" t="s">
        <v>8</v>
      </c>
      <c r="K5" s="36" t="s">
        <v>9</v>
      </c>
      <c r="L5" s="37" t="s">
        <v>10</v>
      </c>
      <c r="M5" s="38" t="s">
        <v>11</v>
      </c>
      <c r="N5" s="38" t="s">
        <v>12</v>
      </c>
      <c r="O5" s="1"/>
      <c r="P5" s="1"/>
      <c r="Q5" s="39" t="s">
        <v>8</v>
      </c>
      <c r="R5" s="36" t="s">
        <v>9</v>
      </c>
      <c r="S5" s="39" t="s">
        <v>10</v>
      </c>
      <c r="T5" s="37" t="s">
        <v>11</v>
      </c>
      <c r="U5" s="38" t="s">
        <v>12</v>
      </c>
      <c r="V5" s="3"/>
      <c r="W5" s="40" t="s">
        <v>13</v>
      </c>
      <c r="X5" s="41"/>
      <c r="Y5" s="42" t="s">
        <v>14</v>
      </c>
      <c r="Z5" s="3"/>
      <c r="AA5" s="32"/>
      <c r="AB5" s="24"/>
      <c r="AC5" s="33"/>
      <c r="AD5" s="3"/>
      <c r="AE5" s="26"/>
      <c r="AF5" s="15"/>
      <c r="AG5" s="15"/>
    </row>
    <row r="6">
      <c r="B6" s="1"/>
      <c r="C6" s="27"/>
      <c r="D6" s="18"/>
      <c r="E6" s="5" t="s">
        <v>15</v>
      </c>
      <c r="F6" s="6"/>
      <c r="G6" s="5" t="s">
        <v>16</v>
      </c>
      <c r="I6" s="1"/>
      <c r="J6" s="43" t="s">
        <v>17</v>
      </c>
      <c r="K6" s="44" t="b">
        <v>0</v>
      </c>
      <c r="L6" s="44" t="b">
        <v>0</v>
      </c>
      <c r="M6" s="45">
        <f t="shared" ref="M6:M18" si="1">IF(K6, 5, 0)+IF(L6, 10, 0)+N6</f>
        <v>0</v>
      </c>
      <c r="N6" s="46">
        <v>0.0</v>
      </c>
      <c r="O6" s="1"/>
      <c r="P6" s="1"/>
      <c r="Q6" s="47" t="s">
        <v>18</v>
      </c>
      <c r="R6" s="44" t="b">
        <v>0</v>
      </c>
      <c r="S6" s="48" t="b">
        <v>0</v>
      </c>
      <c r="T6" s="45">
        <f t="shared" ref="T6:T18" si="2">IF(R6, 5, 0)+IF(S6, 10, 0)+U6</f>
        <v>0</v>
      </c>
      <c r="U6" s="46">
        <v>0.0</v>
      </c>
      <c r="V6" s="3"/>
      <c r="W6" s="49">
        <v>0.0</v>
      </c>
      <c r="X6" s="49"/>
      <c r="Y6" s="49">
        <v>0.0</v>
      </c>
      <c r="Z6" s="3"/>
      <c r="AA6" s="32"/>
      <c r="AB6" s="24"/>
      <c r="AC6" s="33"/>
      <c r="AD6" s="3"/>
      <c r="AE6" s="26"/>
      <c r="AF6" s="15"/>
      <c r="AG6" s="15"/>
    </row>
    <row r="7">
      <c r="B7" s="1"/>
      <c r="C7" s="27"/>
      <c r="D7" s="18"/>
      <c r="E7" s="19"/>
      <c r="F7" s="20"/>
      <c r="G7" s="19"/>
      <c r="H7" s="19"/>
      <c r="I7" s="1"/>
      <c r="J7" s="43" t="s">
        <v>19</v>
      </c>
      <c r="K7" s="44" t="b">
        <v>0</v>
      </c>
      <c r="L7" s="44" t="b">
        <v>0</v>
      </c>
      <c r="M7" s="45">
        <f t="shared" si="1"/>
        <v>0</v>
      </c>
      <c r="N7" s="46">
        <v>0.0</v>
      </c>
      <c r="O7" s="1"/>
      <c r="P7" s="1"/>
      <c r="Q7" s="50" t="s">
        <v>20</v>
      </c>
      <c r="R7" s="44" t="b">
        <v>0</v>
      </c>
      <c r="S7" s="51" t="b">
        <v>0</v>
      </c>
      <c r="T7" s="45">
        <f t="shared" si="2"/>
        <v>0</v>
      </c>
      <c r="U7" s="46">
        <v>0.0</v>
      </c>
      <c r="V7" s="3"/>
      <c r="W7" s="52" t="s">
        <v>21</v>
      </c>
      <c r="X7" s="52" t="s">
        <v>22</v>
      </c>
      <c r="Y7" s="40" t="s">
        <v>23</v>
      </c>
      <c r="Z7" s="3"/>
      <c r="AA7" s="32"/>
      <c r="AB7" s="24"/>
      <c r="AC7" s="33"/>
      <c r="AD7" s="3"/>
      <c r="AE7" s="26"/>
      <c r="AF7" s="15"/>
      <c r="AG7" s="15"/>
    </row>
    <row r="8">
      <c r="B8" s="1"/>
      <c r="C8" s="27"/>
      <c r="D8" s="18"/>
      <c r="E8" s="30" t="s">
        <v>7</v>
      </c>
      <c r="F8" s="29"/>
      <c r="G8" s="30" t="s">
        <v>7</v>
      </c>
      <c r="H8" s="29"/>
      <c r="I8" s="1"/>
      <c r="J8" s="50" t="s">
        <v>24</v>
      </c>
      <c r="K8" s="44" t="b">
        <v>0</v>
      </c>
      <c r="L8" s="51" t="b">
        <v>0</v>
      </c>
      <c r="M8" s="45">
        <f t="shared" si="1"/>
        <v>0</v>
      </c>
      <c r="N8" s="46">
        <v>0.0</v>
      </c>
      <c r="O8" s="1"/>
      <c r="P8" s="1"/>
      <c r="Q8" s="50" t="s">
        <v>25</v>
      </c>
      <c r="R8" s="44" t="b">
        <v>0</v>
      </c>
      <c r="S8" s="51" t="b">
        <v>0</v>
      </c>
      <c r="T8" s="45">
        <f t="shared" si="2"/>
        <v>0</v>
      </c>
      <c r="U8" s="46">
        <v>0.0</v>
      </c>
      <c r="V8" s="3"/>
      <c r="W8" s="53">
        <v>0.0</v>
      </c>
      <c r="X8" s="53">
        <v>0.0</v>
      </c>
      <c r="Y8" s="49">
        <v>0.0</v>
      </c>
      <c r="Z8" s="3"/>
      <c r="AA8" s="32"/>
      <c r="AB8" s="24"/>
      <c r="AC8" s="33"/>
      <c r="AD8" s="3"/>
      <c r="AE8" s="26"/>
      <c r="AF8" s="15"/>
      <c r="AG8" s="15"/>
    </row>
    <row r="9">
      <c r="B9" s="1"/>
      <c r="C9" s="27"/>
      <c r="D9" s="18"/>
      <c r="E9" s="34"/>
      <c r="F9" s="35"/>
      <c r="G9" s="34"/>
      <c r="H9" s="35"/>
      <c r="I9" s="1"/>
      <c r="J9" s="50" t="s">
        <v>26</v>
      </c>
      <c r="K9" s="44" t="b">
        <v>0</v>
      </c>
      <c r="L9" s="51" t="b">
        <v>0</v>
      </c>
      <c r="M9" s="45">
        <f t="shared" si="1"/>
        <v>0</v>
      </c>
      <c r="N9" s="46">
        <v>0.0</v>
      </c>
      <c r="O9" s="1"/>
      <c r="P9" s="1"/>
      <c r="Q9" s="50" t="s">
        <v>27</v>
      </c>
      <c r="R9" s="44" t="b">
        <v>0</v>
      </c>
      <c r="S9" s="51" t="b">
        <v>0</v>
      </c>
      <c r="T9" s="45">
        <f t="shared" si="2"/>
        <v>0</v>
      </c>
      <c r="U9" s="46">
        <v>0.0</v>
      </c>
      <c r="V9" s="3"/>
      <c r="W9" s="42" t="s">
        <v>28</v>
      </c>
      <c r="X9" s="1"/>
      <c r="Y9" s="42" t="s">
        <v>29</v>
      </c>
      <c r="Z9" s="3"/>
      <c r="AA9" s="32"/>
      <c r="AB9" s="24"/>
      <c r="AC9" s="33"/>
      <c r="AD9" s="3"/>
      <c r="AE9" s="26"/>
      <c r="AF9" s="15"/>
      <c r="AG9" s="15"/>
    </row>
    <row r="10">
      <c r="B10" s="1"/>
      <c r="C10" s="27"/>
      <c r="D10" s="18"/>
      <c r="E10" s="1"/>
      <c r="F10" s="1"/>
      <c r="G10" s="1"/>
      <c r="H10" s="1"/>
      <c r="I10" s="1"/>
      <c r="J10" s="50" t="s">
        <v>30</v>
      </c>
      <c r="K10" s="44" t="b">
        <v>0</v>
      </c>
      <c r="L10" s="44" t="b">
        <v>0</v>
      </c>
      <c r="M10" s="45">
        <f t="shared" si="1"/>
        <v>0</v>
      </c>
      <c r="N10" s="46">
        <v>0.0</v>
      </c>
      <c r="O10" s="1"/>
      <c r="P10" s="1"/>
      <c r="Q10" s="50" t="s">
        <v>31</v>
      </c>
      <c r="R10" s="44" t="b">
        <v>0</v>
      </c>
      <c r="S10" s="51" t="b">
        <v>0</v>
      </c>
      <c r="T10" s="45">
        <f t="shared" si="2"/>
        <v>0</v>
      </c>
      <c r="U10" s="46">
        <v>0.0</v>
      </c>
      <c r="V10" s="3"/>
      <c r="W10" s="49">
        <v>0.0</v>
      </c>
      <c r="X10" s="1"/>
      <c r="Y10" s="49">
        <v>0.0</v>
      </c>
      <c r="Z10" s="3"/>
      <c r="AA10" s="32"/>
      <c r="AB10" s="24"/>
      <c r="AC10" s="33"/>
      <c r="AD10" s="3"/>
      <c r="AE10" s="26"/>
      <c r="AF10" s="15"/>
      <c r="AG10" s="15"/>
    </row>
    <row r="11" ht="21.75" customHeight="1">
      <c r="B11" s="1"/>
      <c r="C11" s="27"/>
      <c r="D11" s="18"/>
      <c r="E11" s="54" t="s">
        <v>32</v>
      </c>
      <c r="F11" s="55"/>
      <c r="G11" s="55"/>
      <c r="H11" s="29"/>
      <c r="I11" s="1"/>
      <c r="J11" s="50" t="s">
        <v>33</v>
      </c>
      <c r="K11" s="44" t="b">
        <v>0</v>
      </c>
      <c r="L11" s="51" t="b">
        <v>0</v>
      </c>
      <c r="M11" s="45">
        <f t="shared" si="1"/>
        <v>0</v>
      </c>
      <c r="N11" s="46">
        <v>0.0</v>
      </c>
      <c r="O11" s="1"/>
      <c r="P11" s="1"/>
      <c r="Q11" s="50" t="s">
        <v>34</v>
      </c>
      <c r="R11" s="44" t="b">
        <v>0</v>
      </c>
      <c r="S11" s="51" t="b">
        <v>0</v>
      </c>
      <c r="T11" s="45">
        <f t="shared" si="2"/>
        <v>0</v>
      </c>
      <c r="U11" s="46">
        <v>0.0</v>
      </c>
      <c r="V11" s="3"/>
      <c r="W11" s="1"/>
      <c r="X11" s="1"/>
      <c r="Y11" s="1"/>
      <c r="Z11" s="3"/>
      <c r="AA11" s="32"/>
      <c r="AB11" s="24"/>
      <c r="AC11" s="33"/>
      <c r="AD11" s="3"/>
      <c r="AE11" s="26"/>
      <c r="AF11" s="15"/>
      <c r="AG11" s="15"/>
    </row>
    <row r="12">
      <c r="B12" s="1"/>
      <c r="C12" s="27"/>
      <c r="D12" s="18"/>
      <c r="E12" s="34"/>
      <c r="F12" s="56"/>
      <c r="G12" s="56"/>
      <c r="H12" s="35"/>
      <c r="I12" s="1"/>
      <c r="J12" s="50" t="s">
        <v>35</v>
      </c>
      <c r="K12" s="44" t="b">
        <v>0</v>
      </c>
      <c r="L12" s="51" t="b">
        <v>0</v>
      </c>
      <c r="M12" s="45">
        <f t="shared" si="1"/>
        <v>0</v>
      </c>
      <c r="N12" s="46">
        <v>0.0</v>
      </c>
      <c r="O12" s="1"/>
      <c r="P12" s="1"/>
      <c r="Q12" s="50" t="s">
        <v>36</v>
      </c>
      <c r="R12" s="44" t="b">
        <v>0</v>
      </c>
      <c r="S12" s="44" t="b">
        <v>0</v>
      </c>
      <c r="T12" s="45">
        <f t="shared" si="2"/>
        <v>0</v>
      </c>
      <c r="U12" s="46">
        <v>0.0</v>
      </c>
      <c r="V12" s="3"/>
      <c r="W12" s="57" t="s">
        <v>37</v>
      </c>
      <c r="X12" s="56"/>
      <c r="Y12" s="56"/>
      <c r="Z12" s="3"/>
      <c r="AA12" s="32"/>
      <c r="AB12" s="24"/>
      <c r="AC12" s="33"/>
      <c r="AD12" s="3"/>
      <c r="AE12" s="26"/>
      <c r="AF12" s="15"/>
      <c r="AG12" s="15"/>
    </row>
    <row r="13">
      <c r="B13" s="1"/>
      <c r="C13" s="27"/>
      <c r="D13" s="18"/>
      <c r="E13" s="58" t="s">
        <v>38</v>
      </c>
      <c r="F13" s="59">
        <v>0.0</v>
      </c>
      <c r="G13" s="60" t="s">
        <v>39</v>
      </c>
      <c r="H13" s="61">
        <f>SUM(F15:F24)</f>
        <v>0</v>
      </c>
      <c r="I13" s="1"/>
      <c r="J13" s="50" t="s">
        <v>40</v>
      </c>
      <c r="K13" s="44" t="b">
        <v>0</v>
      </c>
      <c r="L13" s="51" t="b">
        <v>0</v>
      </c>
      <c r="M13" s="45">
        <f t="shared" si="1"/>
        <v>0</v>
      </c>
      <c r="N13" s="46">
        <v>0.0</v>
      </c>
      <c r="O13" s="1"/>
      <c r="P13" s="1"/>
      <c r="Q13" s="50" t="s">
        <v>41</v>
      </c>
      <c r="R13" s="44" t="b">
        <v>0</v>
      </c>
      <c r="S13" s="44" t="b">
        <v>0</v>
      </c>
      <c r="T13" s="45">
        <f t="shared" si="2"/>
        <v>0</v>
      </c>
      <c r="U13" s="46">
        <v>0.0</v>
      </c>
      <c r="V13" s="3"/>
      <c r="W13" s="1"/>
      <c r="X13" s="1"/>
      <c r="Y13" s="1"/>
      <c r="Z13" s="3"/>
      <c r="AA13" s="32"/>
      <c r="AB13" s="24"/>
      <c r="AC13" s="33"/>
      <c r="AD13" s="3"/>
      <c r="AE13" s="26"/>
      <c r="AF13" s="15"/>
      <c r="AG13" s="15"/>
    </row>
    <row r="14">
      <c r="B14" s="1"/>
      <c r="C14" s="27"/>
      <c r="D14" s="18"/>
      <c r="E14" s="62" t="s">
        <v>42</v>
      </c>
      <c r="F14" s="63">
        <v>0.0</v>
      </c>
      <c r="G14" s="64" t="s">
        <v>43</v>
      </c>
      <c r="H14" s="65" t="s">
        <v>44</v>
      </c>
      <c r="I14" s="1"/>
      <c r="J14" s="50" t="s">
        <v>45</v>
      </c>
      <c r="K14" s="44" t="b">
        <v>0</v>
      </c>
      <c r="L14" s="51" t="b">
        <v>0</v>
      </c>
      <c r="M14" s="45">
        <f t="shared" si="1"/>
        <v>0</v>
      </c>
      <c r="N14" s="46">
        <v>0.0</v>
      </c>
      <c r="O14" s="1"/>
      <c r="P14" s="1"/>
      <c r="Q14" s="50" t="s">
        <v>46</v>
      </c>
      <c r="R14" s="44" t="b">
        <v>0</v>
      </c>
      <c r="S14" s="51" t="b">
        <v>0</v>
      </c>
      <c r="T14" s="45">
        <f t="shared" si="2"/>
        <v>0</v>
      </c>
      <c r="U14" s="46">
        <v>0.0</v>
      </c>
      <c r="V14" s="3"/>
      <c r="W14" s="66" t="s">
        <v>47</v>
      </c>
      <c r="X14" s="67" t="s">
        <v>48</v>
      </c>
      <c r="Y14" s="68" t="s">
        <v>49</v>
      </c>
      <c r="Z14" s="3"/>
      <c r="AA14" s="32"/>
      <c r="AB14" s="24"/>
      <c r="AC14" s="33"/>
      <c r="AD14" s="3"/>
      <c r="AE14" s="26"/>
      <c r="AF14" s="15"/>
      <c r="AG14" s="15"/>
    </row>
    <row r="15">
      <c r="B15" s="1"/>
      <c r="C15" s="27"/>
      <c r="D15" s="18"/>
      <c r="E15" s="69" t="s">
        <v>50</v>
      </c>
      <c r="F15" s="28">
        <v>0.0</v>
      </c>
      <c r="G15" s="69" t="s">
        <v>51</v>
      </c>
      <c r="H15" s="70">
        <f>ROUNDDOWN(F15/4,0) + IF(E8 = "Humano", 1,0) + IF(E8 = "Monstro", 1,0) + IF(U26,30) + IF(U24,14) + IF(G8="Anfíbio",2,0) + IF(G8="Alcadethes",6,0) + IF(G8="Réptil",6,0 + W6 
)</f>
        <v>0</v>
      </c>
      <c r="I15" s="1"/>
      <c r="J15" s="50" t="s">
        <v>52</v>
      </c>
      <c r="K15" s="44" t="b">
        <v>0</v>
      </c>
      <c r="L15" s="51" t="b">
        <v>0</v>
      </c>
      <c r="M15" s="45">
        <f t="shared" si="1"/>
        <v>0</v>
      </c>
      <c r="N15" s="46">
        <v>0.0</v>
      </c>
      <c r="O15" s="1"/>
      <c r="P15" s="1"/>
      <c r="Q15" s="50" t="s">
        <v>53</v>
      </c>
      <c r="R15" s="44" t="b">
        <v>0</v>
      </c>
      <c r="S15" s="44" t="b">
        <v>0</v>
      </c>
      <c r="T15" s="45">
        <f t="shared" si="2"/>
        <v>0</v>
      </c>
      <c r="U15" s="46">
        <v>0.0</v>
      </c>
      <c r="V15" s="3"/>
      <c r="W15" s="71" t="s">
        <v>54</v>
      </c>
      <c r="X15" s="71">
        <f>ROUND(IF(R21,5,0) + IF(R23,10,0) + IF(R25,20,0) + IF(U26,16,0) + (Y15) + IF(G8="Réptil",22,0) + IF(G8="Anfíbio",6,0),0)</f>
        <v>0</v>
      </c>
      <c r="Y15" s="72">
        <v>0.0</v>
      </c>
      <c r="Z15" s="3"/>
      <c r="AA15" s="32"/>
      <c r="AB15" s="24"/>
      <c r="AC15" s="33"/>
      <c r="AD15" s="3"/>
      <c r="AE15" s="26"/>
      <c r="AF15" s="15"/>
      <c r="AG15" s="15"/>
    </row>
    <row r="16">
      <c r="B16" s="1"/>
      <c r="C16" s="27"/>
      <c r="D16" s="18"/>
      <c r="E16" s="73"/>
      <c r="F16" s="74"/>
      <c r="G16" s="73"/>
      <c r="H16" s="73"/>
      <c r="I16" s="1"/>
      <c r="J16" s="50" t="s">
        <v>55</v>
      </c>
      <c r="K16" s="44" t="b">
        <v>0</v>
      </c>
      <c r="L16" s="44" t="b">
        <v>0</v>
      </c>
      <c r="M16" s="45">
        <f t="shared" si="1"/>
        <v>0</v>
      </c>
      <c r="N16" s="46">
        <v>0.0</v>
      </c>
      <c r="O16" s="1"/>
      <c r="P16" s="1"/>
      <c r="Q16" s="50" t="s">
        <v>56</v>
      </c>
      <c r="R16" s="44" t="b">
        <v>0</v>
      </c>
      <c r="S16" s="51" t="b">
        <v>0</v>
      </c>
      <c r="T16" s="45">
        <f t="shared" si="2"/>
        <v>0</v>
      </c>
      <c r="U16" s="46">
        <v>0.0</v>
      </c>
      <c r="V16" s="3"/>
      <c r="W16" s="75" t="s">
        <v>57</v>
      </c>
      <c r="X16" s="75">
        <f>ROUND(Y16 + IF(G8="Réptil",22,0) + IF(U26,16,0) + IF(G8="Anfíbio", 6,0),0)</f>
        <v>0</v>
      </c>
      <c r="Y16" s="76">
        <v>0.0</v>
      </c>
      <c r="Z16" s="3"/>
      <c r="AA16" s="32"/>
      <c r="AB16" s="77"/>
      <c r="AC16" s="33"/>
      <c r="AD16" s="3"/>
      <c r="AE16" s="26"/>
      <c r="AF16" s="15"/>
      <c r="AG16" s="15"/>
    </row>
    <row r="17">
      <c r="B17" s="1"/>
      <c r="C17" s="27"/>
      <c r="D17" s="18"/>
      <c r="E17" s="78" t="s">
        <v>58</v>
      </c>
      <c r="F17" s="79">
        <v>0.0</v>
      </c>
      <c r="G17" s="78" t="s">
        <v>51</v>
      </c>
      <c r="H17" s="80">
        <f>ROUNDDOWN(F17/4,0)  + IF(E8 = "Humano", 1,0) + IF(E8 = "Monstro", 1,0) + IF(U26,30) + IF(U24,14) - IF(G8="Parasita", 10,0) +Y10 
</f>
        <v>0</v>
      </c>
      <c r="I17" s="1"/>
      <c r="J17" s="50" t="s">
        <v>59</v>
      </c>
      <c r="K17" s="44" t="b">
        <v>0</v>
      </c>
      <c r="L17" s="44" t="b">
        <v>0</v>
      </c>
      <c r="M17" s="45">
        <f t="shared" si="1"/>
        <v>0</v>
      </c>
      <c r="N17" s="46">
        <v>0.0</v>
      </c>
      <c r="O17" s="81"/>
      <c r="P17" s="82"/>
      <c r="Q17" s="50" t="s">
        <v>60</v>
      </c>
      <c r="R17" s="44" t="b">
        <v>0</v>
      </c>
      <c r="S17" s="51" t="b">
        <v>0</v>
      </c>
      <c r="T17" s="45">
        <f t="shared" si="2"/>
        <v>0</v>
      </c>
      <c r="U17" s="46">
        <v>0.0</v>
      </c>
      <c r="V17" s="3"/>
      <c r="W17" s="83"/>
      <c r="X17" s="1"/>
      <c r="Y17" s="1"/>
      <c r="Z17" s="1"/>
      <c r="AA17" s="32"/>
      <c r="AB17" s="84"/>
      <c r="AC17" s="33"/>
      <c r="AD17" s="3"/>
      <c r="AE17" s="26"/>
      <c r="AF17" s="15"/>
      <c r="AG17" s="15"/>
    </row>
    <row r="18">
      <c r="B18" s="1"/>
      <c r="C18" s="27"/>
      <c r="D18" s="18"/>
      <c r="E18" s="73"/>
      <c r="F18" s="74"/>
      <c r="G18" s="73"/>
      <c r="H18" s="73"/>
      <c r="I18" s="1"/>
      <c r="J18" s="50" t="s">
        <v>61</v>
      </c>
      <c r="K18" s="44" t="b">
        <v>0</v>
      </c>
      <c r="L18" s="44" t="b">
        <v>0</v>
      </c>
      <c r="M18" s="45">
        <f t="shared" si="1"/>
        <v>0</v>
      </c>
      <c r="N18" s="46">
        <v>0.0</v>
      </c>
      <c r="O18" s="82"/>
      <c r="P18" s="82"/>
      <c r="Q18" s="50" t="s">
        <v>62</v>
      </c>
      <c r="R18" s="44" t="b">
        <v>0</v>
      </c>
      <c r="S18" s="51" t="b">
        <v>0</v>
      </c>
      <c r="T18" s="45">
        <f t="shared" si="2"/>
        <v>0</v>
      </c>
      <c r="U18" s="46">
        <v>0.0</v>
      </c>
      <c r="V18" s="3"/>
      <c r="W18" s="85" t="s">
        <v>63</v>
      </c>
      <c r="X18" s="86"/>
      <c r="Y18" s="87" t="s">
        <v>64</v>
      </c>
      <c r="Z18" s="3"/>
      <c r="AA18" s="32"/>
      <c r="AB18" s="84"/>
      <c r="AC18" s="33"/>
      <c r="AD18" s="3"/>
      <c r="AE18" s="26"/>
      <c r="AF18" s="3"/>
      <c r="AG18" s="3"/>
    </row>
    <row r="19">
      <c r="B19" s="1"/>
      <c r="C19" s="27"/>
      <c r="D19" s="18"/>
      <c r="E19" s="78" t="s">
        <v>65</v>
      </c>
      <c r="F19" s="79">
        <v>0.0</v>
      </c>
      <c r="G19" s="78" t="s">
        <v>51</v>
      </c>
      <c r="H19" s="88">
        <f>ROUNDDOWN(F19/4,0) + IF(E8 = "Humano", 1,0) + IF(E8 = "Monstro", 1,0)  + IF(U26,30) + IF(U24,14) + IF(G8="Esqueleto",5,0) + IF(G8="Anfíbio",2,0) - IF(G8="Alcadethes",3,0) + IF(G8="Parasita", 6,0) + IF(G8="Aranha", 4,0) +W8 
</f>
        <v>0</v>
      </c>
      <c r="I19" s="1"/>
      <c r="J19" s="8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90">
        <v>0.0</v>
      </c>
      <c r="X19" s="86"/>
      <c r="Y19" s="90">
        <v>0.0</v>
      </c>
      <c r="Z19" s="3"/>
      <c r="AA19" s="32"/>
      <c r="AB19" s="84"/>
      <c r="AC19" s="33"/>
      <c r="AD19" s="3"/>
      <c r="AE19" s="26"/>
      <c r="AF19" s="3"/>
      <c r="AG19" s="3"/>
    </row>
    <row r="20">
      <c r="B20" s="1"/>
      <c r="C20" s="27"/>
      <c r="D20" s="18"/>
      <c r="E20" s="73"/>
      <c r="F20" s="74"/>
      <c r="G20" s="73"/>
      <c r="H20" s="73"/>
      <c r="I20" s="1"/>
      <c r="J20" s="8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91">
        <v>0.0</v>
      </c>
      <c r="X20" s="92" t="s">
        <v>66</v>
      </c>
      <c r="Y20" s="91">
        <v>0.0</v>
      </c>
      <c r="Z20" s="3"/>
      <c r="AA20" s="32"/>
      <c r="AB20" s="2"/>
      <c r="AC20" s="33"/>
      <c r="AD20" s="3"/>
      <c r="AE20" s="1"/>
      <c r="AF20" s="3"/>
      <c r="AG20" s="3"/>
    </row>
    <row r="21">
      <c r="B21" s="1"/>
      <c r="C21" s="27"/>
      <c r="D21" s="18"/>
      <c r="E21" s="78" t="s">
        <v>67</v>
      </c>
      <c r="F21" s="79">
        <v>0.0</v>
      </c>
      <c r="G21" s="78" t="s">
        <v>51</v>
      </c>
      <c r="H21" s="88">
        <f>ROUNDDOWN(F21/4,0) + IF(E8 = "Humano", 1,0) + IF(E8 = "Monstro", 1,0) + X8 
</f>
        <v>0</v>
      </c>
      <c r="I21" s="1"/>
      <c r="J21" s="93" t="s">
        <v>68</v>
      </c>
      <c r="K21" s="29"/>
      <c r="L21" s="1"/>
      <c r="M21" s="94" t="s">
        <v>69</v>
      </c>
      <c r="N21" s="56"/>
      <c r="O21" s="56"/>
      <c r="P21" s="56"/>
      <c r="Q21" s="35"/>
      <c r="R21" s="95" t="b">
        <v>0</v>
      </c>
      <c r="S21" s="3"/>
      <c r="T21" s="93" t="s">
        <v>70</v>
      </c>
      <c r="U21" s="29"/>
      <c r="V21" s="3"/>
      <c r="W21" s="91">
        <v>0.0</v>
      </c>
      <c r="X21" s="96">
        <f>SUM(W19:W23)</f>
        <v>0</v>
      </c>
      <c r="Y21" s="91">
        <v>0.0</v>
      </c>
      <c r="Z21" s="3"/>
      <c r="AA21" s="32"/>
      <c r="AB21" s="2"/>
      <c r="AC21" s="33"/>
      <c r="AD21" s="3"/>
      <c r="AE21" s="1"/>
      <c r="AF21" s="3"/>
      <c r="AG21" s="3"/>
    </row>
    <row r="22">
      <c r="B22" s="1"/>
      <c r="C22" s="27"/>
      <c r="D22" s="18"/>
      <c r="E22" s="73"/>
      <c r="F22" s="74"/>
      <c r="G22" s="73"/>
      <c r="H22" s="73"/>
      <c r="I22" s="1"/>
      <c r="J22" s="34"/>
      <c r="K22" s="35"/>
      <c r="L22" s="1"/>
      <c r="M22" s="1"/>
      <c r="N22" s="1"/>
      <c r="O22" s="1"/>
      <c r="P22" s="1"/>
      <c r="Q22" s="1"/>
      <c r="R22" s="1"/>
      <c r="S22" s="1"/>
      <c r="T22" s="34"/>
      <c r="U22" s="35"/>
      <c r="V22" s="3"/>
      <c r="W22" s="91">
        <v>0.0</v>
      </c>
      <c r="X22" s="97" t="s">
        <v>71</v>
      </c>
      <c r="Y22" s="91">
        <v>0.0</v>
      </c>
      <c r="Z22" s="3"/>
      <c r="AA22" s="32"/>
      <c r="AB22" s="2"/>
      <c r="AC22" s="33"/>
      <c r="AD22" s="3"/>
      <c r="AE22" s="1"/>
      <c r="AF22" s="3"/>
      <c r="AG22" s="3"/>
    </row>
    <row r="23">
      <c r="B23" s="1"/>
      <c r="C23" s="27"/>
      <c r="D23" s="18"/>
      <c r="E23" s="78" t="s">
        <v>72</v>
      </c>
      <c r="F23" s="79">
        <v>0.0</v>
      </c>
      <c r="G23" s="78" t="s">
        <v>51</v>
      </c>
      <c r="H23" s="80">
        <f>ROUNDDOWN(F23/4,0) + IF(E8 = "Humano", 1,0) + IF(E8 = "Monstro", 1,0) + IF(U26,30) + IF(U24,14) + IF(G8="Alcadethes",6,0) + W10</f>
        <v>0</v>
      </c>
      <c r="I23" s="1"/>
      <c r="J23" s="1"/>
      <c r="K23" s="1"/>
      <c r="L23" s="1"/>
      <c r="M23" s="94" t="s">
        <v>73</v>
      </c>
      <c r="N23" s="56"/>
      <c r="O23" s="56"/>
      <c r="P23" s="56"/>
      <c r="Q23" s="35"/>
      <c r="R23" s="98" t="b">
        <v>0</v>
      </c>
      <c r="S23" s="3"/>
      <c r="T23" s="1"/>
      <c r="U23" s="1"/>
      <c r="V23" s="3"/>
      <c r="W23" s="99">
        <v>0.0</v>
      </c>
      <c r="X23" s="96">
        <f>K24-SUM(W19:W23)+SUM(Y19:Y23)</f>
        <v>0</v>
      </c>
      <c r="Y23" s="99">
        <v>0.0</v>
      </c>
      <c r="Z23" s="3"/>
      <c r="AA23" s="32"/>
      <c r="AB23" s="2"/>
      <c r="AC23" s="33"/>
      <c r="AD23" s="3"/>
      <c r="AE23" s="1"/>
      <c r="AF23" s="3"/>
      <c r="AG23" s="3"/>
    </row>
    <row r="24">
      <c r="B24" s="1"/>
      <c r="C24" s="27"/>
      <c r="D24" s="18"/>
      <c r="E24" s="100"/>
      <c r="F24" s="34"/>
      <c r="G24" s="100"/>
      <c r="H24" s="100"/>
      <c r="I24" s="1"/>
      <c r="J24" s="101" t="s">
        <v>74</v>
      </c>
      <c r="K24" s="102">
        <f>IF(G8="Elemental",0,ROUNDDOWN(IF(E8="HUMANO",20+H17,IF(E8="MONSTRO",10+H23/2)),0)-IF(G8="Esqueleto",10,0)-IF(G8="PARASITA",10,0)+IF(G8="Alcadethes",H17,0)+Y8)</f>
        <v>0</v>
      </c>
      <c r="L24" s="1"/>
      <c r="M24" s="1"/>
      <c r="N24" s="1"/>
      <c r="O24" s="1"/>
      <c r="P24" s="1"/>
      <c r="Q24" s="1"/>
      <c r="R24" s="1"/>
      <c r="S24" s="1"/>
      <c r="T24" s="103" t="s">
        <v>75</v>
      </c>
      <c r="U24" s="104" t="b">
        <v>0</v>
      </c>
      <c r="V24" s="3"/>
      <c r="W24" s="3"/>
      <c r="X24" s="1"/>
      <c r="Y24" s="105"/>
      <c r="Z24" s="4"/>
      <c r="AA24" s="32"/>
      <c r="AB24" s="2"/>
      <c r="AC24" s="33"/>
      <c r="AD24" s="3"/>
      <c r="AE24" s="26"/>
      <c r="AF24" s="3"/>
      <c r="AG24" s="3"/>
    </row>
    <row r="25">
      <c r="B25" s="1"/>
      <c r="C25" s="27"/>
      <c r="D25" s="18"/>
      <c r="E25" s="1"/>
      <c r="F25" s="1"/>
      <c r="G25" s="1"/>
      <c r="H25" s="1"/>
      <c r="I25" s="1"/>
      <c r="J25" s="100"/>
      <c r="K25" s="56"/>
      <c r="L25" s="1"/>
      <c r="M25" s="94" t="s">
        <v>76</v>
      </c>
      <c r="N25" s="56"/>
      <c r="O25" s="56"/>
      <c r="P25" s="56"/>
      <c r="Q25" s="35"/>
      <c r="R25" s="106" t="b">
        <v>0</v>
      </c>
      <c r="S25" s="3"/>
      <c r="T25" s="100"/>
      <c r="U25" s="100"/>
      <c r="V25" s="3"/>
      <c r="W25" s="107" t="s">
        <v>77</v>
      </c>
      <c r="X25" s="86"/>
      <c r="Y25" s="107" t="s">
        <v>78</v>
      </c>
      <c r="Z25" s="26"/>
      <c r="AA25" s="32"/>
      <c r="AB25" s="84"/>
      <c r="AC25" s="33"/>
      <c r="AD25" s="3"/>
      <c r="AE25" s="26"/>
      <c r="AF25" s="3"/>
      <c r="AG25" s="3"/>
    </row>
    <row r="26">
      <c r="B26" s="1"/>
      <c r="C26" s="27"/>
      <c r="D26" s="18"/>
      <c r="E26" s="69" t="s">
        <v>79</v>
      </c>
      <c r="F26" s="103">
        <f>(10+H19) + IF(R21,2,0) - IF(R25,6,0) - IF(R23,3,0) + IF(G8="Réptil",2,0) + IF(G8="Parasita", 7,0) - IF(G8="Réptil",6,0)</f>
        <v>10</v>
      </c>
      <c r="G26" s="69" t="s">
        <v>80</v>
      </c>
      <c r="H26" s="103">
        <f>H17 - (IF(E8="MONSTRO",3,0)) - IF(G8="Parasita", 5,0)</f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03" t="s">
        <v>4</v>
      </c>
      <c r="U26" s="108" t="b">
        <v>0</v>
      </c>
      <c r="V26" s="3"/>
      <c r="W26" s="60">
        <v>0.0</v>
      </c>
      <c r="X26" s="86"/>
      <c r="Y26" s="60">
        <v>0.0</v>
      </c>
      <c r="Z26" s="3"/>
      <c r="AA26" s="32"/>
      <c r="AB26" s="84"/>
      <c r="AC26" s="33"/>
      <c r="AD26" s="3"/>
      <c r="AE26" s="26"/>
      <c r="AF26" s="3"/>
      <c r="AG26" s="3"/>
    </row>
    <row r="27">
      <c r="B27" s="1"/>
      <c r="C27" s="27"/>
      <c r="D27" s="18"/>
      <c r="E27" s="73"/>
      <c r="F27" s="73"/>
      <c r="G27" s="73"/>
      <c r="H27" s="73"/>
      <c r="I27" s="1"/>
      <c r="J27" s="109" t="s">
        <v>81</v>
      </c>
      <c r="K27" s="102">
        <f>ROUNDDOWN(IF(E8="HUMANO", 7 + H23/2, IF(E8="MONSTRO", 15 + H23)), 0) * IF(G8="Elemental",2,1) + (Y6)</f>
        <v>0</v>
      </c>
      <c r="L27" s="1"/>
      <c r="M27" s="2"/>
      <c r="N27" s="2"/>
      <c r="O27" s="2"/>
      <c r="P27" s="2"/>
      <c r="Q27" s="2"/>
      <c r="R27" s="2"/>
      <c r="S27" s="2"/>
      <c r="T27" s="100"/>
      <c r="U27" s="100"/>
      <c r="V27" s="3"/>
      <c r="W27" s="110">
        <v>0.0</v>
      </c>
      <c r="X27" s="92" t="s">
        <v>66</v>
      </c>
      <c r="Y27" s="110">
        <v>0.0</v>
      </c>
      <c r="Z27" s="3"/>
      <c r="AA27" s="32"/>
      <c r="AB27" s="84"/>
      <c r="AC27" s="33"/>
      <c r="AD27" s="3"/>
      <c r="AE27" s="26"/>
      <c r="AF27" s="3"/>
      <c r="AG27" s="3"/>
    </row>
    <row r="28">
      <c r="B28" s="1"/>
      <c r="C28" s="27"/>
      <c r="D28" s="18"/>
      <c r="E28" s="78" t="s">
        <v>82</v>
      </c>
      <c r="F28" s="80">
        <f>H19+T15</f>
        <v>0</v>
      </c>
      <c r="G28" s="78" t="s">
        <v>83</v>
      </c>
      <c r="H28" s="80">
        <f>(H19+T15) - IF(R25, 6, 0) - IF(R23, 3, 0) - IF(G8="Réptil",6,0)</f>
        <v>0</v>
      </c>
      <c r="I28" s="1"/>
      <c r="J28" s="100"/>
      <c r="K28" s="56"/>
      <c r="L28" s="1"/>
      <c r="M28" s="2"/>
      <c r="N28" s="2" t="str">
        <f>IMAGE(M46,2)</f>
        <v/>
      </c>
      <c r="R28" s="2"/>
      <c r="S28" s="2"/>
      <c r="T28" s="1"/>
      <c r="U28" s="1"/>
      <c r="V28" s="3"/>
      <c r="W28" s="110">
        <v>0.0</v>
      </c>
      <c r="X28" s="96">
        <f>SUM(W26:W30)</f>
        <v>0</v>
      </c>
      <c r="Y28" s="110">
        <v>0.0</v>
      </c>
      <c r="Z28" s="3"/>
      <c r="AA28" s="32"/>
      <c r="AB28" s="84"/>
      <c r="AC28" s="33"/>
      <c r="AD28" s="3"/>
      <c r="AE28" s="26"/>
      <c r="AF28" s="15"/>
      <c r="AG28" s="15"/>
    </row>
    <row r="29">
      <c r="B29" s="1"/>
      <c r="C29" s="27"/>
      <c r="D29" s="18"/>
      <c r="E29" s="73"/>
      <c r="F29" s="73"/>
      <c r="G29" s="73"/>
      <c r="H29" s="73"/>
      <c r="I29" s="1"/>
      <c r="J29" s="1"/>
      <c r="K29" s="1"/>
      <c r="L29" s="1"/>
      <c r="M29" s="2"/>
      <c r="R29" s="2"/>
      <c r="S29" s="2"/>
      <c r="T29" s="1"/>
      <c r="U29" s="105"/>
      <c r="V29" s="3"/>
      <c r="W29" s="110">
        <v>0.0</v>
      </c>
      <c r="X29" s="111" t="s">
        <v>84</v>
      </c>
      <c r="Y29" s="110">
        <v>0.0</v>
      </c>
      <c r="Z29" s="3"/>
      <c r="AA29" s="32"/>
      <c r="AB29" s="84"/>
      <c r="AC29" s="33"/>
      <c r="AD29" s="3"/>
      <c r="AE29" s="26"/>
      <c r="AF29" s="15"/>
      <c r="AG29" s="15"/>
    </row>
    <row r="30">
      <c r="B30" s="1"/>
      <c r="C30" s="27"/>
      <c r="D30" s="18"/>
      <c r="E30" s="78" t="s">
        <v>85</v>
      </c>
      <c r="F30" s="80">
        <f>H21+T12</f>
        <v>0</v>
      </c>
      <c r="G30" s="78" t="s">
        <v>86</v>
      </c>
      <c r="H30" s="80">
        <v>0.0</v>
      </c>
      <c r="I30" s="1"/>
      <c r="J30" s="1"/>
      <c r="K30" s="1"/>
      <c r="L30" s="1"/>
      <c r="M30" s="2"/>
      <c r="R30" s="2"/>
      <c r="S30" s="2"/>
      <c r="T30" s="112" t="s">
        <v>87</v>
      </c>
      <c r="U30" s="56"/>
      <c r="V30" s="3"/>
      <c r="W30" s="64">
        <v>0.0</v>
      </c>
      <c r="X30" s="96">
        <f>K27-SUM(W26:W30)+SUM(Y26:Y30)</f>
        <v>0</v>
      </c>
      <c r="Y30" s="64">
        <v>0.0</v>
      </c>
      <c r="Z30" s="3"/>
      <c r="AA30" s="113"/>
      <c r="AB30" s="84"/>
      <c r="AC30" s="33"/>
      <c r="AD30" s="3"/>
      <c r="AE30" s="26"/>
      <c r="AF30" s="15"/>
      <c r="AG30" s="15"/>
    </row>
    <row r="31">
      <c r="B31" s="1"/>
      <c r="C31" s="114"/>
      <c r="D31" s="18"/>
      <c r="E31" s="100"/>
      <c r="F31" s="100"/>
      <c r="G31" s="100"/>
      <c r="H31" s="100"/>
      <c r="I31" s="1"/>
      <c r="J31" s="115" t="s">
        <v>88</v>
      </c>
      <c r="K31" s="56"/>
      <c r="L31" s="1"/>
      <c r="M31" s="2"/>
      <c r="R31" s="2"/>
      <c r="S31" s="2"/>
      <c r="T31" s="116" t="s">
        <v>89</v>
      </c>
      <c r="V31" s="3"/>
      <c r="W31" s="3"/>
      <c r="X31" s="31"/>
      <c r="Y31" s="3"/>
      <c r="Z31" s="3"/>
      <c r="AA31" s="4"/>
      <c r="AB31" s="117"/>
      <c r="AC31" s="4"/>
      <c r="AD31" s="117"/>
      <c r="AE31" s="4"/>
      <c r="AF31" s="15"/>
      <c r="AG31" s="15"/>
    </row>
    <row r="32">
      <c r="A32" s="1"/>
      <c r="B32" s="1"/>
      <c r="C32" s="1"/>
      <c r="D32" s="1"/>
      <c r="E32" s="105"/>
      <c r="F32" s="1"/>
      <c r="G32" s="1"/>
      <c r="H32" s="1"/>
      <c r="I32" s="1"/>
      <c r="J32" s="116" t="s">
        <v>90</v>
      </c>
      <c r="L32" s="1"/>
      <c r="M32" s="2"/>
      <c r="R32" s="2"/>
      <c r="S32" s="2"/>
      <c r="T32" s="118"/>
      <c r="U32" s="118"/>
      <c r="V32" s="118"/>
      <c r="W32" s="118"/>
      <c r="X32" s="1"/>
      <c r="Y32" s="1"/>
      <c r="Z32" s="1"/>
      <c r="AA32" s="1"/>
      <c r="AB32" s="1"/>
      <c r="AC32" s="14"/>
      <c r="AD32" s="14"/>
      <c r="AE32" s="14"/>
      <c r="AF32" s="119"/>
      <c r="AG32" s="119"/>
    </row>
    <row r="33">
      <c r="A33" s="1"/>
      <c r="B33" s="1"/>
      <c r="C33" s="1"/>
      <c r="D33" s="1"/>
      <c r="E33" s="120"/>
      <c r="F33" s="120"/>
      <c r="G33" s="120"/>
      <c r="H33" s="120"/>
      <c r="I33" s="121"/>
      <c r="J33" s="121"/>
      <c r="K33" s="120"/>
      <c r="L33" s="120"/>
      <c r="M33" s="2"/>
      <c r="R33" s="2"/>
      <c r="S33" s="122"/>
      <c r="T33" s="123"/>
      <c r="U33" s="124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6"/>
      <c r="AG33" s="126"/>
    </row>
    <row r="34">
      <c r="A34" s="127"/>
      <c r="B34" s="127"/>
      <c r="C34" s="127"/>
      <c r="D34" s="127"/>
      <c r="E34" s="128"/>
      <c r="F34" s="1"/>
      <c r="G34" s="1"/>
      <c r="H34" s="1"/>
      <c r="I34" s="129"/>
      <c r="J34" s="129"/>
      <c r="K34" s="1"/>
      <c r="L34" s="130"/>
      <c r="M34" s="2"/>
      <c r="R34" s="2"/>
      <c r="S34" s="131"/>
      <c r="T34" s="132" t="s">
        <v>91</v>
      </c>
      <c r="U34" s="10"/>
      <c r="V34" s="10"/>
      <c r="W34" s="10"/>
      <c r="X34" s="10"/>
      <c r="Y34" s="11"/>
      <c r="Z34" s="3"/>
      <c r="AA34" s="3"/>
      <c r="AB34" s="4"/>
      <c r="AC34" s="4"/>
      <c r="AD34" s="4"/>
      <c r="AE34" s="4"/>
      <c r="AF34" s="15"/>
      <c r="AG34" s="15"/>
    </row>
    <row r="35">
      <c r="A35" s="1"/>
      <c r="B35" s="1"/>
      <c r="C35" s="1"/>
      <c r="D35" s="1"/>
      <c r="E35" s="7" t="s">
        <v>92</v>
      </c>
      <c r="L35" s="130"/>
      <c r="M35" s="2"/>
      <c r="R35" s="2"/>
      <c r="S35" s="131"/>
      <c r="T35" s="56"/>
      <c r="U35" s="56"/>
      <c r="V35" s="56"/>
      <c r="W35" s="56"/>
      <c r="X35" s="56"/>
      <c r="Y35" s="133"/>
      <c r="Z35" s="3"/>
      <c r="AA35" s="3"/>
      <c r="AB35" s="4"/>
      <c r="AC35" s="4"/>
      <c r="AD35" s="1"/>
      <c r="AE35" s="4"/>
      <c r="AF35" s="15"/>
      <c r="AG35" s="15"/>
    </row>
    <row r="36">
      <c r="A36" s="1"/>
      <c r="B36" s="1"/>
      <c r="C36" s="1"/>
      <c r="D36" s="1"/>
      <c r="E36" s="56"/>
      <c r="F36" s="56"/>
      <c r="G36" s="56"/>
      <c r="H36" s="56"/>
      <c r="I36" s="56"/>
      <c r="J36" s="56"/>
      <c r="K36" s="56"/>
      <c r="L36" s="130"/>
      <c r="M36" s="2"/>
      <c r="R36" s="2"/>
      <c r="S36" s="131"/>
      <c r="T36" s="134" t="s">
        <v>93</v>
      </c>
      <c r="Z36" s="3"/>
      <c r="AA36" s="3"/>
      <c r="AB36" s="4"/>
      <c r="AC36" s="4"/>
      <c r="AD36" s="1"/>
      <c r="AE36" s="4"/>
      <c r="AF36" s="15"/>
      <c r="AG36" s="15"/>
    </row>
    <row r="37">
      <c r="A37" s="1"/>
      <c r="B37" s="1"/>
      <c r="C37" s="1"/>
      <c r="D37" s="1"/>
      <c r="E37" s="135" t="s">
        <v>94</v>
      </c>
      <c r="L37" s="136"/>
      <c r="M37" s="2"/>
      <c r="R37" s="2"/>
      <c r="S37" s="131"/>
      <c r="Z37" s="3"/>
      <c r="AA37" s="3"/>
      <c r="AB37" s="4"/>
      <c r="AC37" s="4"/>
      <c r="AD37" s="1"/>
      <c r="AE37" s="4"/>
      <c r="AF37" s="15"/>
      <c r="AG37" s="15"/>
    </row>
    <row r="38">
      <c r="A38" s="1"/>
      <c r="B38" s="1"/>
      <c r="C38" s="1"/>
      <c r="D38" s="1"/>
      <c r="L38" s="136"/>
      <c r="M38" s="2"/>
      <c r="R38" s="2"/>
      <c r="S38" s="131"/>
      <c r="Z38" s="3"/>
      <c r="AA38" s="3"/>
      <c r="AB38" s="4"/>
      <c r="AC38" s="4"/>
      <c r="AD38" s="1"/>
      <c r="AE38" s="4"/>
      <c r="AF38" s="15"/>
      <c r="AG38" s="15"/>
    </row>
    <row r="39">
      <c r="A39" s="1"/>
      <c r="B39" s="1"/>
      <c r="C39" s="1"/>
      <c r="D39" s="1"/>
      <c r="L39" s="136"/>
      <c r="M39" s="2"/>
      <c r="R39" s="2"/>
      <c r="S39" s="131"/>
      <c r="Z39" s="3"/>
      <c r="AA39" s="3"/>
      <c r="AB39" s="4"/>
      <c r="AC39" s="4"/>
      <c r="AD39" s="1"/>
      <c r="AE39" s="4"/>
      <c r="AF39" s="15"/>
      <c r="AG39" s="15"/>
    </row>
    <row r="40">
      <c r="A40" s="1"/>
      <c r="B40" s="1"/>
      <c r="C40" s="1"/>
      <c r="D40" s="1"/>
      <c r="L40" s="136"/>
      <c r="M40" s="2"/>
      <c r="R40" s="2"/>
      <c r="S40" s="131"/>
      <c r="Z40" s="3"/>
      <c r="AA40" s="3"/>
      <c r="AB40" s="4"/>
      <c r="AC40" s="4"/>
      <c r="AD40" s="1"/>
      <c r="AE40" s="4"/>
      <c r="AF40" s="15"/>
      <c r="AG40" s="15"/>
    </row>
    <row r="41">
      <c r="A41" s="1"/>
      <c r="B41" s="1"/>
      <c r="C41" s="1"/>
      <c r="D41" s="1"/>
      <c r="L41" s="136"/>
      <c r="M41" s="2"/>
      <c r="R41" s="2"/>
      <c r="S41" s="131"/>
      <c r="Z41" s="3"/>
      <c r="AA41" s="3"/>
      <c r="AB41" s="1"/>
      <c r="AC41" s="1"/>
      <c r="AD41" s="1"/>
      <c r="AE41" s="4"/>
      <c r="AF41" s="15"/>
      <c r="AG41" s="15"/>
    </row>
    <row r="42">
      <c r="A42" s="1"/>
      <c r="B42" s="1"/>
      <c r="C42" s="1"/>
      <c r="D42" s="1"/>
      <c r="L42" s="136"/>
      <c r="M42" s="2"/>
      <c r="R42" s="2"/>
      <c r="S42" s="131"/>
      <c r="Z42" s="3"/>
      <c r="AA42" s="3"/>
      <c r="AB42" s="1"/>
      <c r="AC42" s="1"/>
      <c r="AD42" s="1"/>
      <c r="AE42" s="4"/>
      <c r="AF42" s="15"/>
      <c r="AG42" s="15"/>
    </row>
    <row r="43">
      <c r="A43" s="1"/>
      <c r="B43" s="1"/>
      <c r="C43" s="1"/>
      <c r="D43" s="1"/>
      <c r="L43" s="136"/>
      <c r="M43" s="2"/>
      <c r="R43" s="2"/>
      <c r="S43" s="131"/>
      <c r="Z43" s="3"/>
      <c r="AA43" s="3"/>
      <c r="AB43" s="1"/>
      <c r="AC43" s="1"/>
      <c r="AD43" s="1"/>
      <c r="AE43" s="4"/>
      <c r="AF43" s="15"/>
      <c r="AG43" s="15"/>
    </row>
    <row r="44">
      <c r="A44" s="1"/>
      <c r="B44" s="1"/>
      <c r="C44" s="1"/>
      <c r="D44" s="1"/>
      <c r="L44" s="136"/>
      <c r="M44" s="2"/>
      <c r="R44" s="2"/>
      <c r="S44" s="131"/>
      <c r="Z44" s="3"/>
      <c r="AA44" s="3"/>
      <c r="AB44" s="1"/>
      <c r="AC44" s="1"/>
      <c r="AD44" s="1"/>
      <c r="AE44" s="4"/>
      <c r="AF44" s="15"/>
      <c r="AG44" s="15"/>
    </row>
    <row r="45">
      <c r="A45" s="1"/>
      <c r="B45" s="1"/>
      <c r="C45" s="1"/>
      <c r="D45" s="1"/>
      <c r="L45" s="12"/>
      <c r="M45" s="137"/>
      <c r="N45" s="138"/>
      <c r="O45" s="138"/>
      <c r="P45" s="138"/>
      <c r="Q45" s="138"/>
      <c r="R45" s="139"/>
      <c r="S45" s="140"/>
      <c r="Z45" s="3"/>
      <c r="AA45" s="3"/>
      <c r="AB45" s="1"/>
      <c r="AC45" s="1"/>
      <c r="AD45" s="1"/>
      <c r="AE45" s="4"/>
      <c r="AF45" s="15"/>
      <c r="AG45" s="15"/>
    </row>
    <row r="46">
      <c r="A46" s="1"/>
      <c r="B46" s="1"/>
      <c r="C46" s="1"/>
      <c r="D46" s="1"/>
      <c r="L46" s="12"/>
      <c r="M46" s="141" t="s">
        <v>95</v>
      </c>
      <c r="S46" s="1"/>
      <c r="Z46" s="3"/>
      <c r="AA46" s="3"/>
      <c r="AB46" s="1"/>
      <c r="AC46" s="1"/>
      <c r="AD46" s="1"/>
      <c r="AE46" s="4"/>
      <c r="AF46" s="15"/>
      <c r="AG46" s="15"/>
    </row>
    <row r="47">
      <c r="A47" s="1"/>
      <c r="B47" s="1"/>
      <c r="C47" s="1"/>
      <c r="D47" s="1"/>
      <c r="L47" s="4"/>
      <c r="M47" s="142" t="s">
        <v>96</v>
      </c>
      <c r="R47" s="8"/>
      <c r="S47" s="117"/>
      <c r="T47" s="4"/>
      <c r="U47" s="4"/>
      <c r="V47" s="4"/>
      <c r="W47" s="4"/>
      <c r="X47" s="4"/>
      <c r="Y47" s="1"/>
      <c r="Z47" s="1"/>
      <c r="AA47" s="1"/>
      <c r="AB47" s="1"/>
      <c r="AC47" s="1"/>
      <c r="AD47" s="1"/>
      <c r="AE47" s="4"/>
      <c r="AF47" s="15"/>
      <c r="AG47" s="15"/>
    </row>
    <row r="48">
      <c r="A48" s="1"/>
      <c r="B48" s="1"/>
      <c r="C48" s="1"/>
      <c r="D48" s="1"/>
      <c r="E48" s="4"/>
      <c r="F48" s="4"/>
      <c r="G48" s="4"/>
      <c r="H48" s="1"/>
      <c r="I48" s="1"/>
      <c r="J48" s="1"/>
      <c r="K48" s="1"/>
      <c r="L48" s="4"/>
      <c r="M48" s="143"/>
      <c r="N48" s="144"/>
      <c r="O48" s="144"/>
      <c r="P48" s="144"/>
      <c r="Q48" s="144"/>
      <c r="R48" s="145"/>
      <c r="S48" s="4"/>
      <c r="T48" s="4"/>
      <c r="U48" s="4"/>
      <c r="V48" s="4"/>
      <c r="W48" s="4"/>
      <c r="X48" s="4"/>
      <c r="Y48" s="1"/>
      <c r="Z48" s="1"/>
      <c r="AA48" s="1"/>
      <c r="AB48" s="1"/>
      <c r="AC48" s="1"/>
      <c r="AD48" s="1"/>
      <c r="AE48" s="4"/>
      <c r="AF48" s="15"/>
      <c r="AG48" s="15"/>
    </row>
    <row r="49">
      <c r="A49" s="3"/>
      <c r="B49" s="3"/>
      <c r="C49" s="3"/>
      <c r="D49" s="3"/>
      <c r="E49" s="15"/>
      <c r="F49" s="15"/>
      <c r="G49" s="15"/>
      <c r="H49" s="3"/>
      <c r="I49" s="3"/>
      <c r="J49" s="3"/>
      <c r="K49" s="3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3"/>
      <c r="Z49" s="3"/>
      <c r="AA49" s="3"/>
      <c r="AB49" s="3"/>
      <c r="AC49" s="3"/>
      <c r="AD49" s="3"/>
      <c r="AE49" s="15"/>
      <c r="AF49" s="15"/>
      <c r="AG49" s="15"/>
    </row>
    <row r="50">
      <c r="A50" s="3"/>
      <c r="B50" s="3"/>
      <c r="C50" s="3"/>
      <c r="D50" s="3"/>
      <c r="E50" s="15"/>
      <c r="F50" s="15"/>
      <c r="G50" s="15"/>
      <c r="H50" s="3"/>
      <c r="I50" s="3"/>
      <c r="J50" s="3"/>
      <c r="K50" s="3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3"/>
      <c r="Z50" s="3"/>
      <c r="AA50" s="3"/>
      <c r="AB50" s="3"/>
      <c r="AC50" s="3"/>
      <c r="AD50" s="146"/>
      <c r="AE50" s="15"/>
      <c r="AF50" s="15"/>
      <c r="AG50" s="15"/>
    </row>
    <row r="51">
      <c r="A51" s="3"/>
      <c r="B51" s="3"/>
      <c r="C51" s="3"/>
      <c r="D51" s="3"/>
      <c r="E51" s="15"/>
      <c r="F51" s="15"/>
      <c r="G51" s="15"/>
      <c r="H51" s="3"/>
      <c r="I51" s="3"/>
      <c r="J51" s="3"/>
      <c r="K51" s="3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3"/>
      <c r="Z51" s="3"/>
      <c r="AA51" s="3"/>
      <c r="AB51" s="3"/>
      <c r="AC51" s="3"/>
      <c r="AD51" s="146"/>
      <c r="AE51" s="147"/>
      <c r="AF51" s="15"/>
      <c r="AG51" s="15"/>
    </row>
    <row r="52">
      <c r="A52" s="3"/>
      <c r="B52" s="3"/>
      <c r="C52" s="3"/>
      <c r="D52" s="3"/>
      <c r="E52" s="15"/>
      <c r="F52" s="15"/>
      <c r="G52" s="15"/>
      <c r="H52" s="3"/>
      <c r="I52" s="3"/>
      <c r="J52" s="3"/>
      <c r="K52" s="3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3"/>
      <c r="Z52" s="3"/>
      <c r="AA52" s="3"/>
      <c r="AB52" s="3"/>
      <c r="AC52" s="3"/>
      <c r="AD52" s="148"/>
      <c r="AE52" s="15"/>
      <c r="AF52" s="15"/>
      <c r="AG52" s="15"/>
    </row>
    <row r="53">
      <c r="A53" s="3"/>
      <c r="B53" s="3"/>
      <c r="C53" s="3"/>
      <c r="D53" s="3"/>
      <c r="E53" s="15"/>
      <c r="F53" s="15"/>
      <c r="G53" s="15"/>
      <c r="H53" s="3"/>
      <c r="I53" s="3"/>
      <c r="J53" s="3"/>
      <c r="K53" s="3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3"/>
      <c r="Z53" s="3"/>
      <c r="AA53" s="3"/>
      <c r="AB53" s="3"/>
      <c r="AC53" s="3"/>
      <c r="AD53" s="148"/>
      <c r="AE53" s="15"/>
      <c r="AF53" s="15"/>
      <c r="AG53" s="15"/>
    </row>
    <row r="54">
      <c r="A54" s="3"/>
      <c r="B54" s="3"/>
      <c r="C54" s="3"/>
      <c r="D54" s="3"/>
      <c r="E54" s="15"/>
      <c r="F54" s="15"/>
      <c r="G54" s="15"/>
      <c r="H54" s="3"/>
      <c r="I54" s="3"/>
      <c r="J54" s="3"/>
      <c r="K54" s="3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3"/>
      <c r="AB54" s="15"/>
      <c r="AC54" s="15"/>
      <c r="AD54" s="148"/>
      <c r="AE54" s="15"/>
      <c r="AF54" s="15"/>
      <c r="AG54" s="15"/>
    </row>
    <row r="55">
      <c r="A55" s="3"/>
      <c r="B55" s="3"/>
      <c r="C55" s="3"/>
      <c r="D55" s="3"/>
      <c r="E55" s="15"/>
      <c r="F55" s="15"/>
      <c r="G55" s="15"/>
      <c r="H55" s="3"/>
      <c r="I55" s="3"/>
      <c r="J55" s="3"/>
      <c r="K55" s="3"/>
      <c r="L55" s="15"/>
      <c r="M55" s="15"/>
      <c r="N55" s="15"/>
      <c r="O55" s="15"/>
      <c r="P55" s="15"/>
      <c r="Q55" s="15"/>
      <c r="R55" s="15"/>
      <c r="S55" s="3"/>
      <c r="T55" s="3"/>
      <c r="U55" s="3"/>
      <c r="V55" s="3"/>
      <c r="W55" s="3"/>
      <c r="X55" s="3"/>
      <c r="Y55" s="3"/>
      <c r="Z55" s="15"/>
      <c r="AA55" s="3"/>
      <c r="AB55" s="15"/>
      <c r="AC55" s="15"/>
      <c r="AD55" s="148"/>
      <c r="AE55" s="15"/>
      <c r="AF55" s="15"/>
      <c r="AG55" s="15"/>
    </row>
    <row r="56">
      <c r="A56" s="3"/>
      <c r="B56" s="3"/>
      <c r="C56" s="3"/>
      <c r="D56" s="3"/>
      <c r="E56" s="15"/>
      <c r="F56" s="15"/>
      <c r="G56" s="15"/>
      <c r="H56" s="3"/>
      <c r="I56" s="3"/>
      <c r="J56" s="3"/>
      <c r="K56" s="3"/>
      <c r="L56" s="15"/>
      <c r="M56" s="15"/>
      <c r="N56" s="15"/>
      <c r="O56" s="15"/>
      <c r="P56" s="15"/>
      <c r="Q56" s="15"/>
      <c r="R56" s="15"/>
      <c r="S56" s="3"/>
      <c r="T56" s="3"/>
      <c r="U56" s="3"/>
      <c r="V56" s="3"/>
      <c r="W56" s="3"/>
      <c r="X56" s="3"/>
      <c r="Y56" s="3"/>
      <c r="Z56" s="15"/>
      <c r="AA56" s="3"/>
      <c r="AB56" s="15"/>
      <c r="AC56" s="15"/>
      <c r="AD56" s="148"/>
      <c r="AE56" s="15"/>
      <c r="AF56" s="15"/>
      <c r="AG56" s="15"/>
    </row>
    <row r="57">
      <c r="A57" s="3"/>
      <c r="B57" s="3"/>
      <c r="C57" s="3"/>
      <c r="D57" s="3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3"/>
      <c r="T57" s="3"/>
      <c r="U57" s="3"/>
      <c r="V57" s="3"/>
      <c r="W57" s="3"/>
      <c r="X57" s="3"/>
      <c r="Y57" s="3"/>
      <c r="Z57" s="15"/>
      <c r="AA57" s="3"/>
      <c r="AB57" s="15"/>
      <c r="AC57" s="15"/>
      <c r="AD57" s="148"/>
      <c r="AE57" s="15"/>
      <c r="AF57" s="15"/>
      <c r="AG57" s="15"/>
    </row>
    <row r="58">
      <c r="A58" s="3"/>
      <c r="B58" s="3"/>
      <c r="C58" s="3"/>
      <c r="D58" s="3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3"/>
      <c r="T58" s="3"/>
      <c r="U58" s="3"/>
      <c r="V58" s="3"/>
      <c r="W58" s="3"/>
      <c r="X58" s="3"/>
      <c r="Y58" s="3"/>
      <c r="Z58" s="15"/>
      <c r="AA58" s="3"/>
      <c r="AB58" s="15"/>
      <c r="AC58" s="15"/>
      <c r="AD58" s="148"/>
      <c r="AE58" s="15"/>
      <c r="AF58" s="15"/>
      <c r="AG58" s="15"/>
    </row>
    <row r="59">
      <c r="A59" s="3"/>
      <c r="B59" s="3"/>
      <c r="C59" s="3"/>
      <c r="D59" s="3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3"/>
      <c r="T59" s="3"/>
      <c r="U59" s="3"/>
      <c r="V59" s="3"/>
      <c r="W59" s="3"/>
      <c r="X59" s="3"/>
      <c r="Y59" s="3"/>
      <c r="Z59" s="15"/>
      <c r="AA59" s="3"/>
      <c r="AB59" s="15"/>
      <c r="AC59" s="15"/>
      <c r="AD59" s="148"/>
      <c r="AE59" s="15"/>
      <c r="AF59" s="15"/>
      <c r="AG59" s="15"/>
    </row>
    <row r="60">
      <c r="A60" s="3"/>
      <c r="B60" s="3"/>
      <c r="C60" s="3"/>
      <c r="D60" s="3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3"/>
      <c r="T60" s="3"/>
      <c r="U60" s="3"/>
      <c r="V60" s="3"/>
      <c r="W60" s="3"/>
      <c r="X60" s="3"/>
      <c r="Y60" s="3"/>
      <c r="Z60" s="15"/>
      <c r="AA60" s="3"/>
      <c r="AB60" s="15"/>
      <c r="AC60" s="15"/>
      <c r="AD60" s="148"/>
      <c r="AE60" s="15"/>
      <c r="AF60" s="15"/>
      <c r="AG60" s="15"/>
    </row>
    <row r="61">
      <c r="A61" s="3"/>
      <c r="B61" s="3"/>
      <c r="C61" s="3"/>
      <c r="D61" s="3"/>
      <c r="E61" s="15"/>
      <c r="F61" s="15"/>
      <c r="G61" s="15"/>
      <c r="H61" s="15"/>
      <c r="I61" s="119"/>
      <c r="J61" s="119"/>
      <c r="K61" s="119"/>
      <c r="L61" s="15"/>
      <c r="M61" s="15"/>
      <c r="N61" s="15"/>
      <c r="O61" s="15"/>
      <c r="P61" s="15"/>
      <c r="Q61" s="15"/>
      <c r="R61" s="15"/>
      <c r="S61" s="3"/>
      <c r="T61" s="3"/>
      <c r="U61" s="3"/>
      <c r="V61" s="3"/>
      <c r="W61" s="3"/>
      <c r="X61" s="3"/>
      <c r="Y61" s="3"/>
      <c r="Z61" s="15"/>
      <c r="AA61" s="3"/>
      <c r="AB61" s="15"/>
      <c r="AC61" s="15"/>
      <c r="AD61" s="148"/>
      <c r="AE61" s="15"/>
      <c r="AF61" s="15"/>
      <c r="AG61" s="15"/>
    </row>
    <row r="62">
      <c r="A62" s="3"/>
      <c r="B62" s="3"/>
      <c r="C62" s="3"/>
      <c r="D62" s="3"/>
      <c r="E62" s="15"/>
      <c r="F62" s="15"/>
      <c r="G62" s="15"/>
      <c r="H62" s="149"/>
      <c r="I62" s="150"/>
      <c r="L62" s="147"/>
      <c r="M62" s="15"/>
      <c r="N62" s="15"/>
      <c r="O62" s="15"/>
      <c r="P62" s="15"/>
      <c r="Q62" s="15"/>
      <c r="R62" s="15"/>
      <c r="S62" s="3"/>
      <c r="T62" s="3"/>
      <c r="U62" s="3"/>
      <c r="V62" s="3"/>
      <c r="W62" s="3"/>
      <c r="X62" s="3"/>
      <c r="Y62" s="3"/>
      <c r="Z62" s="15"/>
      <c r="AA62" s="3"/>
      <c r="AB62" s="15"/>
      <c r="AC62" s="15"/>
      <c r="AD62" s="148"/>
      <c r="AE62" s="15"/>
      <c r="AF62" s="15"/>
      <c r="AG62" s="15"/>
    </row>
    <row r="63">
      <c r="A63" s="3"/>
      <c r="B63" s="3"/>
      <c r="C63" s="3"/>
      <c r="D63" s="3"/>
      <c r="E63" s="15"/>
      <c r="F63" s="15"/>
      <c r="G63" s="15"/>
      <c r="H63" s="149"/>
      <c r="L63" s="147"/>
      <c r="M63" s="15"/>
      <c r="N63" s="15"/>
      <c r="O63" s="15"/>
      <c r="P63" s="15"/>
      <c r="Q63" s="15"/>
      <c r="R63" s="15"/>
      <c r="S63" s="3"/>
      <c r="T63" s="3"/>
      <c r="U63" s="3"/>
      <c r="V63" s="3"/>
      <c r="W63" s="3"/>
      <c r="X63" s="3"/>
      <c r="Y63" s="3"/>
      <c r="Z63" s="15"/>
      <c r="AA63" s="3"/>
      <c r="AB63" s="15"/>
      <c r="AC63" s="15"/>
      <c r="AD63" s="148"/>
      <c r="AE63" s="15"/>
      <c r="AF63" s="15"/>
      <c r="AG63" s="15"/>
    </row>
    <row r="64">
      <c r="A64" s="3"/>
      <c r="B64" s="3"/>
      <c r="C64" s="3"/>
      <c r="D64" s="3"/>
      <c r="E64" s="15"/>
      <c r="F64" s="15"/>
      <c r="G64" s="15"/>
      <c r="H64" s="149"/>
      <c r="I64" s="151"/>
      <c r="J64" s="151"/>
      <c r="K64" s="151"/>
      <c r="L64" s="147"/>
      <c r="M64" s="15"/>
      <c r="N64" s="15"/>
      <c r="O64" s="15"/>
      <c r="P64" s="15"/>
      <c r="Q64" s="15"/>
      <c r="R64" s="15"/>
      <c r="S64" s="3"/>
      <c r="T64" s="3"/>
      <c r="U64" s="3"/>
      <c r="V64" s="3"/>
      <c r="W64" s="3"/>
      <c r="X64" s="3"/>
      <c r="Y64" s="3"/>
      <c r="Z64" s="15"/>
      <c r="AA64" s="3"/>
      <c r="AB64" s="15"/>
      <c r="AC64" s="15"/>
      <c r="AD64" s="148"/>
      <c r="AE64" s="15"/>
      <c r="AF64" s="15"/>
      <c r="AG64" s="15"/>
    </row>
    <row r="65">
      <c r="A65" s="3"/>
      <c r="B65" s="3"/>
      <c r="C65" s="3"/>
      <c r="D65" s="3"/>
      <c r="E65" s="15"/>
      <c r="F65" s="15"/>
      <c r="G65" s="15"/>
      <c r="H65" s="149"/>
      <c r="I65" s="152"/>
      <c r="L65" s="147"/>
      <c r="M65" s="15"/>
      <c r="N65" s="15"/>
      <c r="O65" s="15"/>
      <c r="P65" s="15"/>
      <c r="Q65" s="15"/>
      <c r="R65" s="15"/>
      <c r="S65" s="3"/>
      <c r="T65" s="3"/>
      <c r="U65" s="3"/>
      <c r="V65" s="3"/>
      <c r="W65" s="3"/>
      <c r="X65" s="3"/>
      <c r="Y65" s="3"/>
      <c r="Z65" s="15"/>
      <c r="AA65" s="3"/>
      <c r="AB65" s="15"/>
      <c r="AC65" s="15"/>
      <c r="AD65" s="148"/>
      <c r="AE65" s="15"/>
      <c r="AF65" s="15"/>
      <c r="AG65" s="15"/>
    </row>
    <row r="66">
      <c r="A66" s="3"/>
      <c r="B66" s="3"/>
      <c r="C66" s="3"/>
      <c r="D66" s="3"/>
      <c r="E66" s="15"/>
      <c r="F66" s="15"/>
      <c r="G66" s="15"/>
      <c r="H66" s="149"/>
      <c r="L66" s="147"/>
      <c r="M66" s="15"/>
      <c r="N66" s="15"/>
      <c r="O66" s="15"/>
      <c r="P66" s="15"/>
      <c r="Q66" s="15"/>
      <c r="R66" s="15"/>
      <c r="S66" s="3"/>
      <c r="T66" s="3"/>
      <c r="U66" s="3"/>
      <c r="V66" s="3"/>
      <c r="W66" s="3"/>
      <c r="X66" s="3"/>
      <c r="Y66" s="3"/>
      <c r="Z66" s="15"/>
      <c r="AA66" s="3"/>
      <c r="AB66" s="15"/>
      <c r="AC66" s="15"/>
      <c r="AD66" s="148"/>
      <c r="AE66" s="15"/>
      <c r="AF66" s="15"/>
      <c r="AG66" s="15"/>
    </row>
    <row r="67">
      <c r="A67" s="3"/>
      <c r="B67" s="3"/>
      <c r="C67" s="3"/>
      <c r="D67" s="3"/>
      <c r="E67" s="15"/>
      <c r="F67" s="15"/>
      <c r="G67" s="15"/>
      <c r="H67" s="15"/>
      <c r="I67" s="153"/>
      <c r="J67" s="153"/>
      <c r="K67" s="153"/>
      <c r="L67" s="15"/>
      <c r="M67" s="15"/>
      <c r="N67" s="15"/>
      <c r="O67" s="15"/>
      <c r="P67" s="15"/>
      <c r="Q67" s="15"/>
      <c r="R67" s="15"/>
      <c r="S67" s="3"/>
      <c r="T67" s="3"/>
      <c r="U67" s="3"/>
      <c r="V67" s="3"/>
      <c r="W67" s="3"/>
      <c r="X67" s="3"/>
      <c r="Y67" s="3"/>
      <c r="Z67" s="15"/>
      <c r="AA67" s="15"/>
      <c r="AB67" s="15"/>
      <c r="AC67" s="15"/>
      <c r="AD67" s="148"/>
      <c r="AE67" s="15"/>
      <c r="AF67" s="15"/>
      <c r="AG67" s="15"/>
    </row>
    <row r="68">
      <c r="A68" s="3"/>
      <c r="B68" s="3"/>
      <c r="C68" s="3"/>
      <c r="D68" s="3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48"/>
      <c r="AE68" s="15"/>
      <c r="AF68" s="15"/>
      <c r="AG68" s="15"/>
    </row>
    <row r="69">
      <c r="A69" s="3"/>
      <c r="B69" s="3"/>
      <c r="C69" s="3"/>
      <c r="D69" s="3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48"/>
      <c r="AE69" s="15"/>
      <c r="AF69" s="15"/>
      <c r="AG69" s="15"/>
    </row>
    <row r="70">
      <c r="A70" s="3"/>
      <c r="B70" s="3"/>
      <c r="C70" s="3"/>
      <c r="D70" s="3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48"/>
      <c r="AE70" s="15"/>
      <c r="AF70" s="15"/>
      <c r="AG70" s="15"/>
    </row>
    <row r="71">
      <c r="A71" s="3"/>
      <c r="B71" s="3"/>
      <c r="C71" s="3"/>
      <c r="D71" s="3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48"/>
      <c r="AE71" s="15"/>
      <c r="AF71" s="15"/>
      <c r="AG71" s="15"/>
    </row>
    <row r="72">
      <c r="A72" s="3"/>
      <c r="B72" s="3"/>
      <c r="C72" s="3"/>
      <c r="D72" s="3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48"/>
      <c r="AE72" s="15"/>
      <c r="AF72" s="15"/>
      <c r="AG72" s="15"/>
    </row>
    <row r="73">
      <c r="A73" s="3"/>
      <c r="B73" s="3"/>
      <c r="C73" s="3"/>
      <c r="D73" s="3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48"/>
      <c r="AE73" s="15"/>
      <c r="AF73" s="15"/>
      <c r="AG73" s="15"/>
    </row>
    <row r="74">
      <c r="A74" s="3"/>
      <c r="B74" s="3"/>
      <c r="C74" s="3"/>
      <c r="D74" s="3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48"/>
      <c r="AE74" s="15"/>
      <c r="AF74" s="15"/>
      <c r="AG74" s="15"/>
    </row>
    <row r="75">
      <c r="A75" s="3"/>
      <c r="B75" s="3"/>
      <c r="C75" s="3"/>
      <c r="D75" s="3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48"/>
      <c r="AE75" s="15"/>
      <c r="AF75" s="15"/>
      <c r="AG75" s="15"/>
    </row>
    <row r="76">
      <c r="A76" s="3"/>
      <c r="B76" s="3"/>
      <c r="C76" s="3"/>
      <c r="D76" s="3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48"/>
      <c r="AE76" s="15"/>
      <c r="AF76" s="15"/>
      <c r="AG76" s="15"/>
    </row>
    <row r="77">
      <c r="A77" s="3"/>
      <c r="B77" s="3"/>
      <c r="C77" s="3"/>
      <c r="D77" s="3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48"/>
      <c r="AE77" s="15"/>
      <c r="AF77" s="15"/>
      <c r="AG77" s="15"/>
    </row>
    <row r="78">
      <c r="A78" s="3"/>
      <c r="B78" s="3"/>
      <c r="C78" s="3"/>
      <c r="D78" s="3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49"/>
      <c r="AD78" s="154"/>
      <c r="AE78" s="147"/>
      <c r="AF78" s="15"/>
      <c r="AG78" s="15"/>
    </row>
    <row r="79">
      <c r="A79" s="3"/>
      <c r="B79" s="3"/>
      <c r="C79" s="3"/>
      <c r="D79" s="3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3"/>
      <c r="AE79" s="15"/>
      <c r="AF79" s="15"/>
      <c r="AG79" s="15"/>
    </row>
    <row r="80">
      <c r="A80" s="3"/>
      <c r="B80" s="3"/>
      <c r="C80" s="3"/>
      <c r="D80" s="3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>
      <c r="A81" s="3"/>
      <c r="B81" s="3"/>
      <c r="C81" s="3"/>
      <c r="D81" s="3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>
      <c r="A82" s="3"/>
      <c r="B82" s="3"/>
      <c r="C82" s="3"/>
      <c r="D82" s="3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>
      <c r="A83" s="3"/>
      <c r="B83" s="3"/>
      <c r="C83" s="3"/>
      <c r="D83" s="3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>
      <c r="A84" s="3"/>
      <c r="B84" s="3"/>
      <c r="C84" s="3"/>
      <c r="D84" s="3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>
      <c r="A85" s="3"/>
      <c r="B85" s="3"/>
      <c r="C85" s="3"/>
      <c r="D85" s="3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>
      <c r="A86" s="3"/>
      <c r="B86" s="3"/>
      <c r="C86" s="3"/>
      <c r="D86" s="3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>
      <c r="A87" s="3"/>
      <c r="B87" s="3"/>
      <c r="C87" s="3"/>
      <c r="D87" s="3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>
      <c r="A88" s="3"/>
      <c r="B88" s="3"/>
      <c r="C88" s="3"/>
      <c r="D88" s="3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>
      <c r="A89" s="3"/>
      <c r="B89" s="3"/>
      <c r="C89" s="3"/>
      <c r="D89" s="3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>
      <c r="A90" s="3"/>
      <c r="B90" s="3"/>
      <c r="C90" s="3"/>
      <c r="D90" s="3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  <row r="91">
      <c r="A91" s="3"/>
      <c r="B91" s="3"/>
      <c r="C91" s="3"/>
      <c r="D91" s="3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</row>
    <row r="92">
      <c r="A92" s="3"/>
      <c r="B92" s="3"/>
      <c r="C92" s="3"/>
      <c r="D92" s="3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</row>
    <row r="93">
      <c r="A93" s="3"/>
      <c r="B93" s="3"/>
      <c r="C93" s="3"/>
      <c r="D93" s="3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</row>
    <row r="94">
      <c r="A94" s="3"/>
      <c r="B94" s="3"/>
      <c r="C94" s="3"/>
      <c r="D94" s="3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</row>
    <row r="95">
      <c r="A95" s="3"/>
      <c r="B95" s="3"/>
      <c r="C95" s="3"/>
      <c r="D95" s="3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</row>
    <row r="96">
      <c r="A96" s="3"/>
      <c r="B96" s="3"/>
      <c r="C96" s="3"/>
      <c r="D96" s="3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>
      <c r="A97" s="3"/>
      <c r="B97" s="3"/>
      <c r="C97" s="3"/>
      <c r="D97" s="3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>
      <c r="A98" s="3"/>
      <c r="B98" s="3"/>
      <c r="C98" s="3"/>
      <c r="D98" s="3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>
      <c r="A99" s="3"/>
      <c r="B99" s="3"/>
      <c r="C99" s="3"/>
      <c r="D99" s="3"/>
      <c r="E99" s="15"/>
      <c r="F99" s="15"/>
      <c r="G99" s="15"/>
      <c r="H99" s="15"/>
      <c r="I99" s="15"/>
      <c r="J99" s="15"/>
      <c r="K99" s="3"/>
      <c r="L99" s="3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</row>
    <row r="100">
      <c r="A100" s="3"/>
      <c r="B100" s="3"/>
      <c r="C100" s="3"/>
      <c r="D100" s="3"/>
      <c r="E100" s="15"/>
      <c r="F100" s="15"/>
      <c r="G100" s="15"/>
      <c r="H100" s="15"/>
      <c r="I100" s="15"/>
      <c r="J100" s="15"/>
      <c r="K100" s="3"/>
      <c r="L100" s="3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</row>
  </sheetData>
  <mergeCells count="74">
    <mergeCell ref="E2:F3"/>
    <mergeCell ref="E4:F5"/>
    <mergeCell ref="G4:H5"/>
    <mergeCell ref="E6:F7"/>
    <mergeCell ref="G6:H7"/>
    <mergeCell ref="E8:F9"/>
    <mergeCell ref="G8:H9"/>
    <mergeCell ref="E15:E16"/>
    <mergeCell ref="F15:F16"/>
    <mergeCell ref="G15:G16"/>
    <mergeCell ref="H15:H16"/>
    <mergeCell ref="E17:E18"/>
    <mergeCell ref="F17:F18"/>
    <mergeCell ref="G17:G18"/>
    <mergeCell ref="H17:H18"/>
    <mergeCell ref="W2:Y3"/>
    <mergeCell ref="W12:Y12"/>
    <mergeCell ref="E19:E20"/>
    <mergeCell ref="F19:F20"/>
    <mergeCell ref="G19:G20"/>
    <mergeCell ref="H19:H20"/>
    <mergeCell ref="E21:E22"/>
    <mergeCell ref="F21:F22"/>
    <mergeCell ref="G21:G22"/>
    <mergeCell ref="H21:H22"/>
    <mergeCell ref="J21:K22"/>
    <mergeCell ref="M21:Q21"/>
    <mergeCell ref="M23:Q23"/>
    <mergeCell ref="J24:J25"/>
    <mergeCell ref="E11:H12"/>
    <mergeCell ref="E23:E24"/>
    <mergeCell ref="F23:F24"/>
    <mergeCell ref="G23:G24"/>
    <mergeCell ref="H23:H24"/>
    <mergeCell ref="G30:G31"/>
    <mergeCell ref="H30:H31"/>
    <mergeCell ref="T30:U30"/>
    <mergeCell ref="J31:K31"/>
    <mergeCell ref="T31:U31"/>
    <mergeCell ref="G2:H3"/>
    <mergeCell ref="J2:U3"/>
    <mergeCell ref="A3:A31"/>
    <mergeCell ref="C3:C31"/>
    <mergeCell ref="AA3:AA30"/>
    <mergeCell ref="AC3:AC30"/>
    <mergeCell ref="M25:Q25"/>
    <mergeCell ref="T21:U22"/>
    <mergeCell ref="T24:T25"/>
    <mergeCell ref="U24:U25"/>
    <mergeCell ref="K24:K25"/>
    <mergeCell ref="E26:E27"/>
    <mergeCell ref="F26:F27"/>
    <mergeCell ref="G26:G27"/>
    <mergeCell ref="H26:H27"/>
    <mergeCell ref="T26:T27"/>
    <mergeCell ref="U26:U27"/>
    <mergeCell ref="T34:Y35"/>
    <mergeCell ref="T36:Y46"/>
    <mergeCell ref="J27:J28"/>
    <mergeCell ref="K27:K28"/>
    <mergeCell ref="N28:Q44"/>
    <mergeCell ref="J32:K32"/>
    <mergeCell ref="M46:R46"/>
    <mergeCell ref="M47:R48"/>
    <mergeCell ref="E28:E29"/>
    <mergeCell ref="F28:F29"/>
    <mergeCell ref="G28:G29"/>
    <mergeCell ref="H28:H29"/>
    <mergeCell ref="E30:E31"/>
    <mergeCell ref="F30:F31"/>
    <mergeCell ref="E35:K36"/>
    <mergeCell ref="E37:K47"/>
    <mergeCell ref="I62:K63"/>
    <mergeCell ref="I65:K66"/>
  </mergeCells>
  <dataValidations>
    <dataValidation type="list" allowBlank="1" showErrorMessage="1" sqref="E8">
      <formula1>"HUMANO,MONSTRO,Nenhum"</formula1>
    </dataValidation>
    <dataValidation type="list" allowBlank="1" showErrorMessage="1" sqref="G8">
      <formula1>"Anfíbio,Esqueleto,Elemental,Fantasma,Réptil,Alcadethes,Aranha,Flor,parasita,Variados,Nenhum"</formula1>
    </dataValidation>
    <dataValidation type="list" allowBlank="1" showErrorMessage="1" sqref="G4">
      <formula1>"Determinação,Perseverança,Integridade,Bondade,Justiça,Bravura,Paciência,----------------,Monstro,-----------------,Alma Cinzenta,Alma Vazia,----------------,Imprudência,Injustiça,Desespero,Injustiça,Vingança,Imprudência,Crueldade,Ira,Medo,APATIA,Fraqueza,"&amp;"CAOS,CORRUPÇÃO,Nenhum"</formula1>
    </dataValidation>
  </dataValidations>
  <hyperlinks>
    <hyperlink r:id="rId2" ref="M46"/>
    <hyperlink r:id="rId3" ref="M47"/>
  </hyperlinks>
  <drawing r:id="rId4"/>
  <legacyDrawing r:id="rId5"/>
</worksheet>
</file>